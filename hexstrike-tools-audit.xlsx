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87f5ffc8747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具评估" sheetId="1" r:id="R1c711fce64074f91"/>
    <x:sheet xmlns:r="http://schemas.openxmlformats.org/officeDocument/2006/relationships" name="口径与部署" sheetId="2" r:id="Re9b6a343217e41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7">
    <x:font>
      <x:sz val="11"/>
      <x:name val="Carlito"/>
    </x:font>
    <x:font>
      <x:sz val="10"/>
      <x:name val="Noto Sans CJK SC"/>
    </x:font>
    <x:font>
      <x:b/>
      <x:sz val="16"/>
      <x:color rgb="FF243B53"/>
      <x:name val="Noto Sans CJK SC"/>
    </x:font>
    <x:font>
      <x:i/>
      <x:sz val="10"/>
      <x:color rgb="FF52606D"/>
      <x:name val="Noto Sans CJK SC"/>
    </x:font>
    <x:font>
      <x:b/>
      <x:sz val="10"/>
      <x:color rgb="FFFFFFFF"/>
      <x:name val="Noto Sans CJK SC"/>
    </x:font>
    <x:font>
      <x:sz val="10"/>
      <x:color rgb="FF1D4ED8"/>
      <x:name val="Noto Sans CJK SC"/>
    </x:font>
    <x:font>
      <x:b/>
      <x:sz val="10"/>
      <x:color rgb="FF243B53"/>
      <x:name val="Noto Sans CJK SC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7C4A03"/>
      </x:font>
      <x:fill>
        <x:patternFill patternType="solid">
          <x:bgColor rgb="FFFFF4D6"/>
        </x:patternFill>
      </x:fill>
    </x:dxf>
    <x:dxf>
      <x:fill>
        <x:patternFill patternType="solid">
          <x:bgColor rgb="FFE9EF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562ac842744f1b" /><Relationship Type="http://schemas.openxmlformats.org/officeDocument/2006/relationships/theme" Target="/xl/theme/theme1.xml" Id="R16d66cea8f5e4323" /><Relationship Type="http://schemas.openxmlformats.org/officeDocument/2006/relationships/sharedStrings" Target="/xl/sharedStrings.xml" Id="R652f920506024c10" /><Relationship Type="http://schemas.openxmlformats.org/officeDocument/2006/relationships/worksheet" Target="/xl/worksheets/sheet1.xml" Id="R1c711fce64074f91" /><Relationship Type="http://schemas.openxmlformats.org/officeDocument/2006/relationships/worksheet" Target="/xl/worksheets/sheet2.xml" Id="Re9b6a343217e4141" /></Relationships>
</file>

<file path=xl/tables/table1.xml><?xml version="1.0" encoding="utf-8"?>
<x:table xmlns:x="http://schemas.openxmlformats.org/spreadsheetml/2006/main" id="1" name="ToolAssessment" displayName="ToolAssessment" ref="A8:P144" headerRowCount="1" totalsRowCount="0" totalsRowShown="0">
  <x:autoFilter ref="A8:P144"/>
  <x:tableColumns count="16">
    <x:tableColumn id="1" name="编号"/>
    <x:tableColumn id="2" name="工具"/>
    <x:tableColumn id="3" name="分类"/>
    <x:tableColumn id="4" name="用途"/>
    <x:tableColumn id="5" name="代码支持状态"/>
    <x:tableColumn id="6" name="专用MCP接口"/>
    <x:tableColumn id="7" name="估算下限 MiB"/>
    <x:tableColumn id="8" name="估算上限 MiB"/>
    <x:tableColumn id="9" name="Kali包/来源"/>
    <x:tableColumn id="10" name="包自身 MiB"/>
    <x:tableColumn id="11" name="部署建议"/>
    <x:tableColumn id="12" name="常用镜像纳入"/>
    <x:tableColumn id="13" name="原全量Dockerfile"/>
    <x:tableColumn id="14" name="条件与限制"/>
    <x:tableColumn id="15" name="代码定位"/>
    <x:tableColumn id="16" name="来源编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37a403a1ec477d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7" hidden="0" customWidth="1"/>
    <x:col min="2" max="2" width="23" hidden="0" customWidth="1"/>
    <x:col min="3" max="3" width="15" hidden="0" customWidth="1"/>
    <x:col min="4" max="4" width="35" hidden="0" customWidth="1"/>
    <x:col min="5" max="5" width="24" hidden="0" customWidth="1"/>
    <x:col min="6" max="6" width="40" hidden="0" customWidth="1"/>
    <x:col min="7" max="7" width="15" hidden="0" customWidth="1"/>
    <x:col min="8" max="8" width="15" hidden="0" customWidth="1"/>
    <x:col min="9" max="9" width="25" hidden="0" customWidth="1"/>
    <x:col min="10" max="10" width="15" hidden="0" customWidth="1"/>
    <x:col min="11" max="11" width="22" hidden="0" customWidth="1"/>
    <x:col min="12" max="12" width="15" hidden="0" customWidth="1"/>
    <x:col min="13" max="13" width="30" hidden="0" customWidth="1"/>
    <x:col min="14" max="14" width="65" hidden="0" customWidth="1"/>
    <x:col min="15" max="15" width="38" hidden="0" customWidth="1"/>
    <x:col min="16" max="16" width="31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8" customHeight="1">
      <x:c r="A2" s="2" t="str">
        <x:v>HexStrike 工具注册与镜像评估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3" t="str">
        <x:v>范围：README去重后136项；源码与Dockerfile基线均固定到 d689933ff579d839c676c82b231f8e98326c5f04。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>
      <x:c r="A5" s="3" t="str">
        <x:v>G/H列为未压缩安装体积估算（MiB），非Docker实测。共享运行时、数据集及重叠依赖不能逐行累加。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>
      <x:c r="A6" s="3" t="str">
        <x:v>代码注册不代表执行可用。常用版包含22个外部工具、31个MCP接口；HTTPx重复注册已在常用版处理。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34" customHeight="1">
      <x:c r="A8" s="8" t="str">
        <x:v>编号</x:v>
      </x:c>
      <x:c r="B8" s="8" t="str">
        <x:v>工具</x:v>
      </x:c>
      <x:c r="C8" s="8" t="str">
        <x:v>分类</x:v>
      </x:c>
      <x:c r="D8" s="8" t="str">
        <x:v>用途</x:v>
      </x:c>
      <x:c r="E8" s="8" t="str">
        <x:v>代码支持状态</x:v>
      </x:c>
      <x:c r="F8" s="8" t="str">
        <x:v>专用MCP接口</x:v>
      </x:c>
      <x:c r="G8" s="8" t="str">
        <x:v>估算下限 MiB</x:v>
      </x:c>
      <x:c r="H8" s="8" t="str">
        <x:v>估算上限 MiB</x:v>
      </x:c>
      <x:c r="I8" s="8" t="str">
        <x:v>Kali包/来源</x:v>
      </x:c>
      <x:c r="J8" s="8" t="str">
        <x:v>包自身 MiB</x:v>
      </x:c>
      <x:c r="K8" s="8" t="str">
        <x:v>部署建议</x:v>
      </x:c>
      <x:c r="L8" s="8" t="str">
        <x:v>常用镜像纳入</x:v>
      </x:c>
      <x:c r="M8" s="8" t="str">
        <x:v>原全量Dockerfile</x:v>
      </x:c>
      <x:c r="N8" s="8" t="str">
        <x:v>条件与限制</x:v>
      </x:c>
      <x:c r="O8" s="8" t="str">
        <x:v>代码定位</x:v>
      </x:c>
      <x:c r="P8" s="8" t="str">
        <x:v>来源编号</x:v>
      </x:c>
    </x:row>
    <x:row r="9" ht="64" customHeight="1">
      <x:c r="A9" s="11" t="n">
        <x:v>1</x:v>
      </x:c>
      <x:c r="B9" s="9" t="str">
        <x:v>Nmap</x:v>
      </x:c>
      <x:c r="C9" s="10" t="str">
        <x:v>网络侦察</x:v>
      </x:c>
      <x:c r="D9" s="10" t="str">
        <x:v>主机、端口、服务识别及NSE检查</x:v>
      </x:c>
      <x:c r="E9" s="10" t="str">
        <x:v>已注册专用MCP</x:v>
      </x:c>
      <x:c r="F9" s="10" t="str">
        <x:v>nmap_scan, nmap_advanced_scan</x:v>
      </x:c>
      <x:c r="G9" s="14" t="n">
        <x:v>30</x:v>
      </x:c>
      <x:c r="H9" s="14" t="n">
        <x:v>70</x:v>
      </x:c>
      <x:c r="I9" s="10" t="str">
        <x:v>nmap</x:v>
      </x:c>
      <x:c r="J9" s="13" t="n">
        <x:v>4.87</x:v>
      </x:c>
      <x:c r="K9" s="10" t="str">
        <x:v>核心镜像</x:v>
      </x:c>
      <x:c r="L9" s="10" t="str">
        <x:v>是</x:v>
      </x:c>
      <x:c r="M9" s="10" t="str">
        <x:v>安装配方已包含，未实测</x:v>
      </x:c>
      <x:c r="N9" s="10" t="str">
        <x:v>字典与扫描结果另计</x:v>
      </x:c>
      <x:c r="O9" s="10" t="str">
        <x:v>hexstrike_mcp.py:284; hexstrike_mcp.py:1482</x:v>
      </x:c>
      <x:c r="P9" s="10" t="str">
        <x:v>SRC-MCP / SRC-SERVER / SRC-KALI / EST</x:v>
      </x:c>
    </x:row>
    <x:row r="10" ht="64" customHeight="1">
      <x:c r="A10" s="11" t="n">
        <x:v>2</x:v>
      </x:c>
      <x:c r="B10" s="9" t="str">
        <x:v>RustScan</x:v>
      </x:c>
      <x:c r="C10" s="10" t="str">
        <x:v>网络侦察</x:v>
      </x:c>
      <x:c r="D10" s="10" t="str">
        <x:v>快速端口发现并联动Nmap</x:v>
      </x:c>
      <x:c r="E10" s="10" t="str">
        <x:v>已注册专用MCP</x:v>
      </x:c>
      <x:c r="F10" s="10" t="str">
        <x:v>rustscan_fast_scan</x:v>
      </x:c>
      <x:c r="G10" s="14" t="n">
        <x:v>5</x:v>
      </x:c>
      <x:c r="H10" s="14" t="n">
        <x:v>15</x:v>
      </x:c>
      <x:c r="I10" s="10" t="str">
        <x:v>rustscan</x:v>
      </x:c>
      <x:c r="J10" s="13" t="n">
        <x:v>4.5</x:v>
      </x:c>
      <x:c r="K10" s="10" t="str">
        <x:v>核心镜像</x:v>
      </x:c>
      <x:c r="L10" s="10" t="str">
        <x:v>是</x:v>
      </x:c>
      <x:c r="M10" s="10" t="str">
        <x:v>安装配方已包含，未实测</x:v>
      </x:c>
      <x:c r="N10" s="10" t="str">
        <x:v>联动Nmap共享依赖</x:v>
      </x:c>
      <x:c r="O10" s="10" t="str">
        <x:v>hexstrike_mcp.py:1408</x:v>
      </x:c>
      <x:c r="P10" s="10" t="str">
        <x:v>SRC-MCP / SRC-SERVER / SRC-KALI / EST</x:v>
      </x:c>
    </x:row>
    <x:row r="11" ht="64" customHeight="1">
      <x:c r="A11" s="11" t="n">
        <x:v>3</x:v>
      </x:c>
      <x:c r="B11" s="9" t="str">
        <x:v>Masscan</x:v>
      </x:c>
      <x:c r="C11" s="10" t="str">
        <x:v>网络侦察</x:v>
      </x:c>
      <x:c r="D11" s="10" t="str">
        <x:v>大量IP高速端口扫描</x:v>
      </x:c>
      <x:c r="E11" s="10" t="str">
        <x:v>已注册专用MCP</x:v>
      </x:c>
      <x:c r="F11" s="10" t="str">
        <x:v>masscan_high_speed</x:v>
      </x:c>
      <x:c r="G11" s="14" t="n">
        <x:v>2</x:v>
      </x:c>
      <x:c r="H11" s="14" t="n">
        <x:v>15</x:v>
      </x:c>
      <x:c r="I11" s="10" t="str">
        <x:v>masscan</x:v>
      </x:c>
      <x:c r="J11" s="13" t="n">
        <x:v>0.5</x:v>
      </x:c>
      <x:c r="K11" s="10" t="str">
        <x:v>可选网络镜像</x:v>
      </x:c>
      <x:c r="L11" s="10" t="str">
        <x:v>否</x:v>
      </x:c>
      <x:c r="M11" s="10" t="str">
        <x:v>安装配方已包含，未实测</x:v>
      </x:c>
      <x:c r="N11" s="10" t="str">
        <x:v>需原始报文权限及网络配置</x:v>
      </x:c>
      <x:c r="O11" s="10" t="str">
        <x:v>hexstrike_mcp.py:1444</x:v>
      </x:c>
      <x:c r="P11" s="10" t="str">
        <x:v>SRC-MCP / SRC-SERVER / SRC-KALI / EST</x:v>
      </x:c>
    </x:row>
    <x:row r="12" ht="64" customHeight="1">
      <x:c r="A12" s="11" t="n">
        <x:v>4</x:v>
      </x:c>
      <x:c r="B12" s="9" t="str">
        <x:v>AutoRecon</x:v>
      </x:c>
      <x:c r="C12" s="10" t="str">
        <x:v>网络侦察</x:v>
      </x:c>
      <x:c r="D12" s="10" t="str">
        <x:v>自动组织端口和服务枚举任务</x:v>
      </x:c>
      <x:c r="E12" s="10" t="str">
        <x:v>已注册专用MCP</x:v>
      </x:c>
      <x:c r="F12" s="10" t="str">
        <x:v>autorecon_comprehensive, autorecon_scan</x:v>
      </x:c>
      <x:c r="G12" s="14" t="n">
        <x:v>20</x:v>
      </x:c>
      <x:c r="H12" s="14" t="n">
        <x:v>100</x:v>
      </x:c>
      <x:c r="I12" s="10" t="str">
        <x:v>autorecon</x:v>
      </x:c>
      <x:c r="J12" s="13" t="n">
        <x:v>1.24</x:v>
      </x:c>
      <x:c r="K12" s="10" t="str">
        <x:v>可选网络镜像</x:v>
      </x:c>
      <x:c r="L12" s="10" t="str">
        <x:v>否</x:v>
      </x:c>
      <x:c r="M12" s="10" t="str">
        <x:v>安装配方已包含，未实测</x:v>
      </x:c>
      <x:c r="N12" s="10" t="str">
        <x:v>Nmap等被调工具不重复计入</x:v>
      </x:c>
      <x:c r="O12" s="10" t="str">
        <x:v>hexstrike_mcp.py:1525; hexstrike_mcp.py:3648</x:v>
      </x:c>
      <x:c r="P12" s="10" t="str">
        <x:v>SRC-MCP / SRC-SERVER / SRC-KALI / EST</x:v>
      </x:c>
    </x:row>
    <x:row r="13" ht="64" customHeight="1">
      <x:c r="A13" s="11" t="n">
        <x:v>5</x:v>
      </x:c>
      <x:c r="B13" s="9" t="str">
        <x:v>Amass</x:v>
      </x:c>
      <x:c r="C13" s="10" t="str">
        <x:v>网络侦察</x:v>
      </x:c>
      <x:c r="D13" s="10" t="str">
        <x:v>子域名和外部攻击面收集</x:v>
      </x:c>
      <x:c r="E13" s="10" t="str">
        <x:v>已注册专用MCP</x:v>
      </x:c>
      <x:c r="F13" s="10" t="str">
        <x:v>amass_scan</x:v>
      </x:c>
      <x:c r="G13" s="14" t="n">
        <x:v>55</x:v>
      </x:c>
      <x:c r="H13" s="14" t="n">
        <x:v>110</x:v>
      </x:c>
      <x:c r="I13" s="10" t="str">
        <x:v>amass</x:v>
      </x:c>
      <x:c r="J13" s="13" t="n">
        <x:v>50.57</x:v>
      </x:c>
      <x:c r="K13" s="10" t="str">
        <x:v>核心镜像</x:v>
      </x:c>
      <x:c r="L13" s="10" t="str">
        <x:v>是</x:v>
      </x:c>
      <x:c r="M13" s="10" t="str">
        <x:v>安装配方已包含，未实测</x:v>
      </x:c>
      <x:c r="N13" s="10" t="str">
        <x:v>工作数据库另计</x:v>
      </x:c>
      <x:c r="O13" s="10" t="str">
        <x:v>hexstrike_mcp.py:1288</x:v>
      </x:c>
      <x:c r="P13" s="10" t="str">
        <x:v>SRC-MCP / SRC-SERVER / SRC-KALI / EST</x:v>
      </x:c>
    </x:row>
    <x:row r="14" ht="64" customHeight="1">
      <x:c r="A14" s="11" t="n">
        <x:v>6</x:v>
      </x:c>
      <x:c r="B14" s="9" t="str">
        <x:v>Subfinder</x:v>
      </x:c>
      <x:c r="C14" s="10" t="str">
        <x:v>网络侦察</x:v>
      </x:c>
      <x:c r="D14" s="10" t="str">
        <x:v>公开数据源被动子域名发现</x:v>
      </x:c>
      <x:c r="E14" s="10" t="str">
        <x:v>已注册专用MCP</x:v>
      </x:c>
      <x:c r="F14" s="10" t="str">
        <x:v>subfinder_scan</x:v>
      </x:c>
      <x:c r="G14" s="14" t="n">
        <x:v>30</x:v>
      </x:c>
      <x:c r="H14" s="14" t="n">
        <x:v>65</x:v>
      </x:c>
      <x:c r="I14" s="10" t="str">
        <x:v>subfinder</x:v>
      </x:c>
      <x:c r="J14" s="13" t="n">
        <x:v>28.46</x:v>
      </x:c>
      <x:c r="K14" s="10" t="str">
        <x:v>核心镜像</x:v>
      </x:c>
      <x:c r="L14" s="10" t="str">
        <x:v>是</x:v>
      </x:c>
      <x:c r="M14" s="10" t="str">
        <x:v>安装配方已包含，未实测</x:v>
      </x:c>
      <x:c r="N14" s="10" t="str">
        <x:v>部分数据源需要API Key</x:v>
      </x:c>
      <x:c r="O14" s="10" t="str">
        <x:v>hexstrike_mcp.py:1346</x:v>
      </x:c>
      <x:c r="P14" s="10" t="str">
        <x:v>SRC-MCP / SRC-SERVER / SRC-KALI / EST</x:v>
      </x:c>
    </x:row>
    <x:row r="15" ht="64" customHeight="1">
      <x:c r="A15" s="11" t="n">
        <x:v>7</x:v>
      </x:c>
      <x:c r="B15" s="9" t="str">
        <x:v>Fierce</x:v>
      </x:c>
      <x:c r="C15" s="10" t="str">
        <x:v>网络侦察</x:v>
      </x:c>
      <x:c r="D15" s="10" t="str">
        <x:v>DNS枚举和关联主机发现</x:v>
      </x:c>
      <x:c r="E15" s="10" t="str">
        <x:v>已注册专用MCP</x:v>
      </x:c>
      <x:c r="F15" s="10" t="str">
        <x:v>fierce_scan</x:v>
      </x:c>
      <x:c r="G15" s="14" t="n">
        <x:v>2</x:v>
      </x:c>
      <x:c r="H15" s="14" t="n">
        <x:v>15</x:v>
      </x:c>
      <x:c r="I15" s="10" t="str">
        <x:v>fierce</x:v>
      </x:c>
      <x:c r="J15" s="13" t="n">
        <x:v>0.24</x:v>
      </x:c>
      <x:c r="K15" s="10" t="str">
        <x:v>核心镜像</x:v>
      </x:c>
      <x:c r="L15" s="10" t="str">
        <x:v>是</x:v>
      </x:c>
      <x:c r="M15" s="10" t="str">
        <x:v>安装配方已包含，未实测</x:v>
      </x:c>
      <x:c r="N15" s="10" t="str">
        <x:v>Python运行时共享</x:v>
      </x:c>
      <x:c r="O15" s="10" t="str">
        <x:v>hexstrike_mcp.py:3594</x:v>
      </x:c>
      <x:c r="P15" s="10" t="str">
        <x:v>SRC-MCP / SRC-SERVER / SRC-KALI / EST</x:v>
      </x:c>
    </x:row>
    <x:row r="16" ht="64" customHeight="1">
      <x:c r="A16" s="11" t="n">
        <x:v>8</x:v>
      </x:c>
      <x:c r="B16" s="9" t="str">
        <x:v>DNSEnum</x:v>
      </x:c>
      <x:c r="C16" s="10" t="str">
        <x:v>网络侦察</x:v>
      </x:c>
      <x:c r="D16" s="10" t="str">
        <x:v>DNS记录、区域传送与子域名枚举</x:v>
      </x:c>
      <x:c r="E16" s="10" t="str">
        <x:v>已注册专用MCP</x:v>
      </x:c>
      <x:c r="F16" s="10" t="str">
        <x:v>dnsenum_scan</x:v>
      </x:c>
      <x:c r="G16" s="14" t="n">
        <x:v>2</x:v>
      </x:c>
      <x:c r="H16" s="14" t="n">
        <x:v>20</x:v>
      </x:c>
      <x:c r="I16" s="10" t="str">
        <x:v>dnsenum</x:v>
      </x:c>
      <x:c r="J16" s="13" t="n">
        <x:v>0.08</x:v>
      </x:c>
      <x:c r="K16" s="10" t="str">
        <x:v>核心镜像</x:v>
      </x:c>
      <x:c r="L16" s="10" t="str">
        <x:v>是</x:v>
      </x:c>
      <x:c r="M16" s="10" t="str">
        <x:v>安装配方已包含，未实测</x:v>
      </x:c>
      <x:c r="N16" s="10" t="str">
        <x:v>Perl运行时共享</x:v>
      </x:c>
      <x:c r="O16" s="10" t="str">
        <x:v>hexstrike_mcp.py:3620</x:v>
      </x:c>
      <x:c r="P16" s="10" t="str">
        <x:v>SRC-MCP / SRC-SERVER / SRC-KALI / EST</x:v>
      </x:c>
    </x:row>
    <x:row r="17" ht="64" customHeight="1">
      <x:c r="A17" s="11" t="n">
        <x:v>9</x:v>
      </x:c>
      <x:c r="B17" s="9" t="str">
        <x:v>TheHarvester</x:v>
      </x:c>
      <x:c r="C17" s="10" t="str">
        <x:v>网络侦察</x:v>
      </x:c>
      <x:c r="D17" s="10" t="str">
        <x:v>邮箱、域名和主机公开信息收集</x:v>
      </x:c>
      <x:c r="E17" s="10" t="str">
        <x:v>仅后端命令映射</x:v>
      </x:c>
      <x:c r="F17" s="10" t="str">
        <x:v>无专用MCP</x:v>
      </x:c>
      <x:c r="G17" s="14" t="n">
        <x:v>50</x:v>
      </x:c>
      <x:c r="H17" s="14" t="n">
        <x:v>250</x:v>
      </x:c>
      <x:c r="I17" s="10" t="str">
        <x:v>theharvester</x:v>
      </x:c>
      <x:c r="J17" s="13" t="n">
        <x:v>2.27</x:v>
      </x:c>
      <x:c r="K17" s="10" t="str">
        <x:v>先封装再纳入</x:v>
      </x:c>
      <x:c r="L17" s="10" t="str">
        <x:v>否</x:v>
      </x:c>
      <x:c r="M17" s="10" t="str">
        <x:v>未显式安装</x:v>
      </x:c>
      <x:c r="N17" s="10" t="str">
        <x:v>没有专用MCP接口；命令映射大小写需核对；CTF自动步骤主要输出命令/模拟成功，不应算已执行集成</x:v>
      </x:c>
      <x:c r="O17" s="10" t="str">
        <x:v>hexstrike_server.py:3603</x:v>
      </x:c>
      <x:c r="P17" s="10" t="str">
        <x:v>SRC-MCP / SRC-SERVER / SRC-KALI / EST</x:v>
      </x:c>
    </x:row>
    <x:row r="18" ht="64" customHeight="1">
      <x:c r="A18" s="11" t="n">
        <x:v>10</x:v>
      </x:c>
      <x:c r="B18" s="9" t="str">
        <x:v>ARP-Scan</x:v>
      </x:c>
      <x:c r="C18" s="10" t="str">
        <x:v>网络侦察</x:v>
      </x:c>
      <x:c r="D18" s="10" t="str">
        <x:v>发现同一二层网络设备</x:v>
      </x:c>
      <x:c r="E18" s="10" t="str">
        <x:v>已注册专用MCP</x:v>
      </x:c>
      <x:c r="F18" s="10" t="str">
        <x:v>arp_scan_discovery</x:v>
      </x:c>
      <x:c r="G18" s="14" t="n">
        <x:v>3</x:v>
      </x:c>
      <x:c r="H18" s="14" t="n">
        <x:v>15</x:v>
      </x:c>
      <x:c r="I18" s="10" t="str">
        <x:v>arp-scan</x:v>
      </x:c>
      <x:c r="J18" s="13" t="n">
        <x:v>1.53</x:v>
      </x:c>
      <x:c r="K18" s="10" t="str">
        <x:v>可选网络镜像</x:v>
      </x:c>
      <x:c r="L18" s="10" t="str">
        <x:v>否</x:v>
      </x:c>
      <x:c r="M18" s="10" t="str">
        <x:v>安装配方已包含，未实测</x:v>
      </x:c>
      <x:c r="N18" s="10" t="str">
        <x:v>容器网络不等同宿主机二层网络</x:v>
      </x:c>
      <x:c r="O18" s="10" t="str">
        <x:v>hexstrike_mcp.py:1666</x:v>
      </x:c>
      <x:c r="P18" s="10" t="str">
        <x:v>SRC-MCP / SRC-SERVER / SRC-KALI / EST</x:v>
      </x:c>
    </x:row>
    <x:row r="19" ht="64" customHeight="1">
      <x:c r="A19" s="11" t="n">
        <x:v>11</x:v>
      </x:c>
      <x:c r="B19" s="9" t="str">
        <x:v>NBTScan</x:v>
      </x:c>
      <x:c r="C19" s="10" t="str">
        <x:v>网络侦察</x:v>
      </x:c>
      <x:c r="D19" s="10" t="str">
        <x:v>查询NetBIOS名称信息</x:v>
      </x:c>
      <x:c r="E19" s="10" t="str">
        <x:v>已注册专用MCP</x:v>
      </x:c>
      <x:c r="F19" s="10" t="str">
        <x:v>nbtscan_netbios</x:v>
      </x:c>
      <x:c r="G19" s="14" t="n">
        <x:v>1</x:v>
      </x:c>
      <x:c r="H19" s="14" t="n">
        <x:v>6</x:v>
      </x:c>
      <x:c r="I19" s="10" t="str">
        <x:v>nbtscan</x:v>
      </x:c>
      <x:c r="J19" s="13" t="n">
        <x:v>0.06</x:v>
      </x:c>
      <x:c r="K19" s="10" t="str">
        <x:v>可选网络镜像</x:v>
      </x:c>
      <x:c r="L19" s="10" t="str">
        <x:v>否</x:v>
      </x:c>
      <x:c r="M19" s="10" t="str">
        <x:v>安装配方已包含，未实测</x:v>
      </x:c>
      <x:c r="N19" s="10" t="str">
        <x:v>内网场景按需使用</x:v>
      </x:c>
      <x:c r="O19" s="10" t="str">
        <x:v>hexstrike_mcp.py:1637</x:v>
      </x:c>
      <x:c r="P19" s="10" t="str">
        <x:v>SRC-MCP / SRC-SERVER / SRC-KALI / EST</x:v>
      </x:c>
    </x:row>
    <x:row r="20" ht="64" customHeight="1">
      <x:c r="A20" s="11" t="n">
        <x:v>12</x:v>
      </x:c>
      <x:c r="B20" s="9" t="str">
        <x:v>RPCClient</x:v>
      </x:c>
      <x:c r="C20" s="10" t="str">
        <x:v>网络侦察</x:v>
      </x:c>
      <x:c r="D20" s="10" t="str">
        <x:v>查询Windows或Samba的RPC信息</x:v>
      </x:c>
      <x:c r="E20" s="10" t="str">
        <x:v>已注册专用MCP</x:v>
      </x:c>
      <x:c r="F20" s="10" t="str">
        <x:v>rpcclient_enumeration</x:v>
      </x:c>
      <x:c r="G20" s="14" t="n">
        <x:v>10</x:v>
      </x:c>
      <x:c r="H20" s="14" t="n">
        <x:v>50</x:v>
      </x:c>
      <x:c r="I20" s="10" t="str">
        <x:v>smbclient</x:v>
      </x:c>
      <x:c r="J20" s="13" t="n">
        <x:v>2.07</x:v>
      </x:c>
      <x:c r="K20" s="10" t="str">
        <x:v>可选网络镜像</x:v>
      </x:c>
      <x:c r="L20" s="10" t="str">
        <x:v>否</x:v>
      </x:c>
      <x:c r="M20" s="10" t="str">
        <x:v>安装配方已包含，未实测</x:v>
      </x:c>
      <x:c r="N20" s="10" t="str">
        <x:v>Samba客户端库共享；不是单独RPC软件包</x:v>
      </x:c>
      <x:c r="O20" s="10" t="str">
        <x:v>hexstrike_mcp.py:1603</x:v>
      </x:c>
      <x:c r="P20" s="10" t="str">
        <x:v>SRC-MCP / SRC-SERVER / SRC-KALI / EST</x:v>
      </x:c>
    </x:row>
    <x:row r="21" ht="64" customHeight="1">
      <x:c r="A21" s="11" t="n">
        <x:v>13</x:v>
      </x:c>
      <x:c r="B21" s="9" t="str">
        <x:v>Enum4linux</x:v>
      </x:c>
      <x:c r="C21" s="10" t="str">
        <x:v>网络侦察</x:v>
      </x:c>
      <x:c r="D21" s="10" t="str">
        <x:v>枚举SMB用户、共享与策略</x:v>
      </x:c>
      <x:c r="E21" s="10" t="str">
        <x:v>已注册专用MCP</x:v>
      </x:c>
      <x:c r="F21" s="10" t="str">
        <x:v>enum4linux_scan</x:v>
      </x:c>
      <x:c r="G21" s="14" t="n">
        <x:v>2</x:v>
      </x:c>
      <x:c r="H21" s="14" t="n">
        <x:v>15</x:v>
      </x:c>
      <x:c r="I21" s="10" t="str">
        <x:v>enum4linux</x:v>
      </x:c>
      <x:c r="J21" s="13" t="n">
        <x:v>0.06</x:v>
      </x:c>
      <x:c r="K21" s="10" t="str">
        <x:v>可选网络镜像</x:v>
      </x:c>
      <x:c r="L21" s="10" t="str">
        <x:v>否</x:v>
      </x:c>
      <x:c r="M21" s="10" t="str">
        <x:v>安装配方已包含，未实测</x:v>
      </x:c>
      <x:c r="N21" s="10" t="str">
        <x:v>Samba依赖不重复计入</x:v>
      </x:c>
      <x:c r="O21" s="10" t="str">
        <x:v>hexstrike_mcp.py:1200</x:v>
      </x:c>
      <x:c r="P21" s="10" t="str">
        <x:v>SRC-MCP / SRC-SERVER / SRC-KALI / EST</x:v>
      </x:c>
    </x:row>
    <x:row r="22" ht="64" customHeight="1">
      <x:c r="A22" s="11" t="n">
        <x:v>14</x:v>
      </x:c>
      <x:c r="B22" s="9" t="str">
        <x:v>Enum4linux-ng</x:v>
      </x:c>
      <x:c r="C22" s="10" t="str">
        <x:v>网络侦察</x:v>
      </x:c>
      <x:c r="D22" s="10" t="str">
        <x:v>结构化SMB用户和共享枚举</x:v>
      </x:c>
      <x:c r="E22" s="10" t="str">
        <x:v>已注册专用MCP</x:v>
      </x:c>
      <x:c r="F22" s="10" t="str">
        <x:v>enum4linux_ng_advanced</x:v>
      </x:c>
      <x:c r="G22" s="14" t="n">
        <x:v>5</x:v>
      </x:c>
      <x:c r="H22" s="14" t="n">
        <x:v>30</x:v>
      </x:c>
      <x:c r="I22" s="10" t="str">
        <x:v>enum4linux-ng</x:v>
      </x:c>
      <x:c r="J22" s="13" t="n">
        <x:v>0.19</x:v>
      </x:c>
      <x:c r="K22" s="10" t="str">
        <x:v>可选网络镜像</x:v>
      </x:c>
      <x:c r="L22" s="10" t="str">
        <x:v>否</x:v>
      </x:c>
      <x:c r="M22" s="10" t="str">
        <x:v>安装配方已包含，未实测</x:v>
      </x:c>
      <x:c r="N22" s="10" t="str">
        <x:v>Samba依赖不重复计入</x:v>
      </x:c>
      <x:c r="O22" s="10" t="str">
        <x:v>hexstrike_mcp.py:1562</x:v>
      </x:c>
      <x:c r="P22" s="10" t="str">
        <x:v>SRC-MCP / SRC-SERVER / SRC-KALI / EST</x:v>
      </x:c>
    </x:row>
    <x:row r="23" ht="64" customHeight="1">
      <x:c r="A23" s="11" t="n">
        <x:v>15</x:v>
      </x:c>
      <x:c r="B23" s="9" t="str">
        <x:v>SMBMap</x:v>
      </x:c>
      <x:c r="C23" s="10" t="str">
        <x:v>网络侦察</x:v>
      </x:c>
      <x:c r="D23" s="10" t="str">
        <x:v>检查SMB共享和访问权限</x:v>
      </x:c>
      <x:c r="E23" s="10" t="str">
        <x:v>已注册专用MCP</x:v>
      </x:c>
      <x:c r="F23" s="10" t="str">
        <x:v>smbmap_scan</x:v>
      </x:c>
      <x:c r="G23" s="14" t="n">
        <x:v>30</x:v>
      </x:c>
      <x:c r="H23" s="14" t="n">
        <x:v>100</x:v>
      </x:c>
      <x:c r="I23" s="10" t="str">
        <x:v>smbmap</x:v>
      </x:c>
      <x:c r="J23" s="13" t="n">
        <x:v>0.13</x:v>
      </x:c>
      <x:c r="K23" s="10" t="str">
        <x:v>可选网络镜像</x:v>
      </x:c>
      <x:c r="L23" s="10" t="str">
        <x:v>否</x:v>
      </x:c>
      <x:c r="M23" s="10" t="str">
        <x:v>安装配方已包含，未实测</x:v>
      </x:c>
      <x:c r="N23" s="10" t="str">
        <x:v>Impacket等依赖可能与NetExec共享</x:v>
      </x:c>
      <x:c r="O23" s="10" t="str">
        <x:v>hexstrike_mcp.py:1374</x:v>
      </x:c>
      <x:c r="P23" s="10" t="str">
        <x:v>SRC-MCP / SRC-SERVER / SRC-KALI / EST</x:v>
      </x:c>
    </x:row>
    <x:row r="24" ht="64" customHeight="1">
      <x:c r="A24" s="11" t="n">
        <x:v>16</x:v>
      </x:c>
      <x:c r="B24" s="9" t="str">
        <x:v>Responder</x:v>
      </x:c>
      <x:c r="C24" s="10" t="str">
        <x:v>网络侦察</x:v>
      </x:c>
      <x:c r="D24" s="10" t="str">
        <x:v>评估内网名称解析欺骗与认证暴露</x:v>
      </x:c>
      <x:c r="E24" s="10" t="str">
        <x:v>已注册专用MCP</x:v>
      </x:c>
      <x:c r="F24" s="10" t="str">
        <x:v>responder_credential_harvest</x:v>
      </x:c>
      <x:c r="G24" s="14" t="n">
        <x:v>5</x:v>
      </x:c>
      <x:c r="H24" s="14" t="n">
        <x:v>35</x:v>
      </x:c>
      <x:c r="I24" s="10" t="str">
        <x:v>responder</x:v>
      </x:c>
      <x:c r="J24" s="13" t="n">
        <x:v>4.26</x:v>
      </x:c>
      <x:c r="K24" s="10" t="str">
        <x:v>可选网络镜像</x:v>
      </x:c>
      <x:c r="L24" s="10" t="str">
        <x:v>否</x:v>
      </x:c>
      <x:c r="M24" s="10" t="str">
        <x:v>安装配方已包含，未实测</x:v>
      </x:c>
      <x:c r="N24" s="10" t="str">
        <x:v>需要适当网络接口和权限</x:v>
      </x:c>
      <x:c r="O24" s="10" t="str">
        <x:v>hexstrike_mcp.py:1699</x:v>
      </x:c>
      <x:c r="P24" s="10" t="str">
        <x:v>SRC-MCP / SRC-SERVER / SRC-KALI / EST</x:v>
      </x:c>
    </x:row>
    <x:row r="25" ht="64" customHeight="1">
      <x:c r="A25" s="11" t="n">
        <x:v>17</x:v>
      </x:c>
      <x:c r="B25" s="9" t="str">
        <x:v>NetExec</x:v>
      </x:c>
      <x:c r="C25" s="10" t="str">
        <x:v>网络侦察</x:v>
      </x:c>
      <x:c r="D25" s="10" t="str">
        <x:v>多协议网络认证及资产枚举</x:v>
      </x:c>
      <x:c r="E25" s="10" t="str">
        <x:v>已注册专用MCP</x:v>
      </x:c>
      <x:c r="F25" s="10" t="str">
        <x:v>netexec_scan</x:v>
      </x:c>
      <x:c r="G25" s="14" t="n">
        <x:v>100</x:v>
      </x:c>
      <x:c r="H25" s="14" t="n">
        <x:v>350</x:v>
      </x:c>
      <x:c r="I25" s="10" t="str">
        <x:v>netexec</x:v>
      </x:c>
      <x:c r="J25" s="13" t="n">
        <x:v>3.6</x:v>
      </x:c>
      <x:c r="K25" s="10" t="str">
        <x:v>可选网络镜像</x:v>
      </x:c>
      <x:c r="L25" s="10" t="str">
        <x:v>否</x:v>
      </x:c>
      <x:c r="M25" s="10" t="str">
        <x:v>安装配方已包含，未实测</x:v>
      </x:c>
      <x:c r="N25" s="10" t="str">
        <x:v>多协议Python依赖；实际命令为nxc</x:v>
      </x:c>
      <x:c r="O25" s="10" t="str">
        <x:v>hexstrike_mcp.py:1254</x:v>
      </x:c>
      <x:c r="P25" s="10" t="str">
        <x:v>SRC-MCP / SRC-SERVER / SRC-KALI / EST</x:v>
      </x:c>
    </x:row>
    <x:row r="26" ht="64" customHeight="1">
      <x:c r="A26" s="11" t="n">
        <x:v>18</x:v>
      </x:c>
      <x:c r="B26" s="9" t="str">
        <x:v>Gobuster</x:v>
      </x:c>
      <x:c r="C26" s="10" t="str">
        <x:v>Web安全</x:v>
      </x:c>
      <x:c r="D26" s="10" t="str">
        <x:v>目录、文件、DNS和虚拟主机枚举</x:v>
      </x:c>
      <x:c r="E26" s="10" t="str">
        <x:v>已注册专用MCP</x:v>
      </x:c>
      <x:c r="F26" s="10" t="str">
        <x:v>gobuster_scan</x:v>
      </x:c>
      <x:c r="G26" s="14" t="n">
        <x:v>10</x:v>
      </x:c>
      <x:c r="H26" s="14" t="n">
        <x:v>30</x:v>
      </x:c>
      <x:c r="I26" s="10" t="str">
        <x:v>gobuster</x:v>
      </x:c>
      <x:c r="J26" s="13" t="n">
        <x:v>9.17</x:v>
      </x:c>
      <x:c r="K26" s="10" t="str">
        <x:v>核心镜像</x:v>
      </x:c>
      <x:c r="L26" s="10" t="str">
        <x:v>是</x:v>
      </x:c>
      <x:c r="M26" s="10" t="str">
        <x:v>安装配方已包含，未实测</x:v>
      </x:c>
      <x:c r="N26" s="10" t="str">
        <x:v>大型字典另计</x:v>
      </x:c>
      <x:c r="O26" s="10" t="str">
        <x:v>hexstrike_mcp.py:327</x:v>
      </x:c>
      <x:c r="P26" s="10" t="str">
        <x:v>SRC-MCP / SRC-SERVER / SRC-KALI / EST</x:v>
      </x:c>
    </x:row>
    <x:row r="27" ht="64" customHeight="1">
      <x:c r="A27" s="11" t="n">
        <x:v>19</x:v>
      </x:c>
      <x:c r="B27" s="9" t="str">
        <x:v>Dirsearch</x:v>
      </x:c>
      <x:c r="C27" s="10" t="str">
        <x:v>Web安全</x:v>
      </x:c>
      <x:c r="D27" s="10" t="str">
        <x:v>网站隐藏目录和文件发现</x:v>
      </x:c>
      <x:c r="E27" s="10" t="str">
        <x:v>已注册专用MCP</x:v>
      </x:c>
      <x:c r="F27" s="10" t="str">
        <x:v>dirsearch_scan</x:v>
      </x:c>
      <x:c r="G27" s="14" t="n">
        <x:v>10</x:v>
      </x:c>
      <x:c r="H27" s="14" t="n">
        <x:v>50</x:v>
      </x:c>
      <x:c r="I27" s="10" t="str">
        <x:v>dirsearch</x:v>
      </x:c>
      <x:c r="J27" s="13" t="n">
        <x:v>0.44</x:v>
      </x:c>
      <x:c r="K27" s="10" t="str">
        <x:v>核心镜像</x:v>
      </x:c>
      <x:c r="L27" s="10" t="str">
        <x:v>是</x:v>
      </x:c>
      <x:c r="M27" s="10" t="str">
        <x:v>安装配方已包含，未实测</x:v>
      </x:c>
      <x:c r="N27" s="10" t="str">
        <x:v>字典另计</x:v>
      </x:c>
      <x:c r="O27" s="10" t="str">
        <x:v>hexstrike_mcp.py:2375</x:v>
      </x:c>
      <x:c r="P27" s="10" t="str">
        <x:v>SRC-MCP / SRC-SERVER / SRC-KALI / EST</x:v>
      </x:c>
    </x:row>
    <x:row r="28" ht="64" customHeight="1">
      <x:c r="A28" s="11" t="n">
        <x:v>20</x:v>
      </x:c>
      <x:c r="B28" s="9" t="str">
        <x:v>Feroxbuster</x:v>
      </x:c>
      <x:c r="C28" s="10" t="str">
        <x:v>Web安全</x:v>
      </x:c>
      <x:c r="D28" s="10" t="str">
        <x:v>递归网站资源发现</x:v>
      </x:c>
      <x:c r="E28" s="10" t="str">
        <x:v>已注册专用MCP</x:v>
      </x:c>
      <x:c r="F28" s="10" t="str">
        <x:v>feroxbuster_scan</x:v>
      </x:c>
      <x:c r="G28" s="14" t="n">
        <x:v>15</x:v>
      </x:c>
      <x:c r="H28" s="14" t="n">
        <x:v>40</x:v>
      </x:c>
      <x:c r="I28" s="10" t="str">
        <x:v>feroxbuster</x:v>
      </x:c>
      <x:c r="J28" s="13" t="n">
        <x:v>12.27</x:v>
      </x:c>
      <x:c r="K28" s="10" t="str">
        <x:v>核心镜像</x:v>
      </x:c>
      <x:c r="L28" s="10" t="str">
        <x:v>是</x:v>
      </x:c>
      <x:c r="M28" s="10" t="str">
        <x:v>安装配方已包含，未实测</x:v>
      </x:c>
      <x:c r="N28" s="10" t="str">
        <x:v>字典另计</x:v>
      </x:c>
      <x:c r="O28" s="10" t="str">
        <x:v>hexstrike_mcp.py:2265</x:v>
      </x:c>
      <x:c r="P28" s="10" t="str">
        <x:v>SRC-MCP / SRC-SERVER / SRC-KALI / EST</x:v>
      </x:c>
    </x:row>
    <x:row r="29" ht="64" customHeight="1">
      <x:c r="A29" s="11" t="n">
        <x:v>21</x:v>
      </x:c>
      <x:c r="B29" s="9" t="str">
        <x:v>FFuf</x:v>
      </x:c>
      <x:c r="C29" s="10" t="str">
        <x:v>Web安全</x:v>
      </x:c>
      <x:c r="D29" s="10" t="str">
        <x:v>URL、参数及请求头模糊测试</x:v>
      </x:c>
      <x:c r="E29" s="10" t="str">
        <x:v>已注册专用MCP</x:v>
      </x:c>
      <x:c r="F29" s="10" t="str">
        <x:v>ffuf_scan</x:v>
      </x:c>
      <x:c r="G29" s="14" t="n">
        <x:v>10</x:v>
      </x:c>
      <x:c r="H29" s="14" t="n">
        <x:v>35</x:v>
      </x:c>
      <x:c r="I29" s="10" t="str">
        <x:v>ffuf</x:v>
      </x:c>
      <x:c r="J29" s="13" t="n">
        <x:v>9.48</x:v>
      </x:c>
      <x:c r="K29" s="10" t="str">
        <x:v>核心镜像</x:v>
      </x:c>
      <x:c r="L29" s="10" t="str">
        <x:v>是</x:v>
      </x:c>
      <x:c r="M29" s="10" t="str">
        <x:v>安装配方已包含，未实测</x:v>
      </x:c>
      <x:c r="N29" s="10" t="str">
        <x:v>字典与结果另计</x:v>
      </x:c>
      <x:c r="O29" s="10" t="str">
        <x:v>hexstrike_mcp.py:1224</x:v>
      </x:c>
      <x:c r="P29" s="10" t="str">
        <x:v>SRC-MCP / SRC-SERVER / SRC-KALI / EST</x:v>
      </x:c>
    </x:row>
    <x:row r="30" ht="64" customHeight="1">
      <x:c r="A30" s="11" t="n">
        <x:v>22</x:v>
      </x:c>
      <x:c r="B30" s="9" t="str">
        <x:v>Dirb</x:v>
      </x:c>
      <x:c r="C30" s="10" t="str">
        <x:v>Web安全</x:v>
      </x:c>
      <x:c r="D30" s="10" t="str">
        <x:v>字典驱动的网站内容发现</x:v>
      </x:c>
      <x:c r="E30" s="10" t="str">
        <x:v>已注册专用MCP</x:v>
      </x:c>
      <x:c r="F30" s="10" t="str">
        <x:v>dirb_scan</x:v>
      </x:c>
      <x:c r="G30" s="14" t="n">
        <x:v>3</x:v>
      </x:c>
      <x:c r="H30" s="14" t="n">
        <x:v>20</x:v>
      </x:c>
      <x:c r="I30" s="10" t="str">
        <x:v>dirb</x:v>
      </x:c>
      <x:c r="J30" s="13" t="n">
        <x:v>1.44</x:v>
      </x:c>
      <x:c r="K30" s="10" t="str">
        <x:v>核心镜像</x:v>
      </x:c>
      <x:c r="L30" s="10" t="str">
        <x:v>是</x:v>
      </x:c>
      <x:c r="M30" s="10" t="str">
        <x:v>安装配方已包含，未实测</x:v>
      </x:c>
      <x:c r="N30" s="10" t="str">
        <x:v>大型额外字典另计</x:v>
      </x:c>
      <x:c r="O30" s="10" t="str">
        <x:v>hexstrike_mcp.py:1001</x:v>
      </x:c>
      <x:c r="P30" s="10" t="str">
        <x:v>SRC-MCP / SRC-SERVER / SRC-KALI / EST</x:v>
      </x:c>
    </x:row>
    <x:row r="31" ht="64" customHeight="1">
      <x:c r="A31" s="11" t="n">
        <x:v>23</x:v>
      </x:c>
      <x:c r="B31" s="9" t="str">
        <x:v>HTTPx</x:v>
      </x:c>
      <x:c r="C31" s="10" t="str">
        <x:v>Web安全</x:v>
      </x:c>
      <x:c r="D31" s="10" t="str">
        <x:v>HTTP状态、标题和技术指纹探测</x:v>
      </x:c>
      <x:c r="E31" s="10" t="str">
        <x:v>已注册但参数冲突</x:v>
      </x:c>
      <x:c r="F31" s="10" t="str">
        <x:v>httpx_probe</x:v>
      </x:c>
      <x:c r="G31" s="14" t="n">
        <x:v>55</x:v>
      </x:c>
      <x:c r="H31" s="14" t="n">
        <x:v>110</x:v>
      </x:c>
      <x:c r="I31" s="10" t="str">
        <x:v>httpx-toolkit</x:v>
      </x:c>
      <x:c r="J31" s="13" t="n">
        <x:v>54.22</x:v>
      </x:c>
      <x:c r="K31" s="10" t="str">
        <x:v>核心镜像</x:v>
      </x:c>
      <x:c r="L31" s="10" t="str">
        <x:v>是</x:v>
      </x:c>
      <x:c r="M31" s="10" t="str">
        <x:v>安装配方已包含，未实测</x:v>
      </x:c>
      <x:c r="N31" s="10" t="str">
        <x:v>指ProjectDiscovery工具；不是同名Python库；重复httpx_probe的后一个定义使用targets/target_file，后端却读取target；常用版保留第一个定义</x:v>
      </x:c>
      <x:c r="O31" s="10" t="str">
        <x:v>hexstrike_mcp.py:3392</x:v>
      </x:c>
      <x:c r="P31" s="10" t="str">
        <x:v>SRC-MCP / SRC-SERVER / SRC-KALI / EST</x:v>
      </x:c>
    </x:row>
    <x:row r="32" ht="64" customHeight="1">
      <x:c r="A32" s="11" t="n">
        <x:v>24</x:v>
      </x:c>
      <x:c r="B32" s="9" t="str">
        <x:v>Katana</x:v>
      </x:c>
      <x:c r="C32" s="10" t="str">
        <x:v>Web安全</x:v>
      </x:c>
      <x:c r="D32" s="10" t="str">
        <x:v>网页及JavaScript端点爬取</x:v>
      </x:c>
      <x:c r="E32" s="10" t="str">
        <x:v>已注册专用MCP</x:v>
      </x:c>
      <x:c r="F32" s="10" t="str">
        <x:v>katana_crawl</x:v>
      </x:c>
      <x:c r="G32" s="14" t="n">
        <x:v>65</x:v>
      </x:c>
      <x:c r="H32" s="14" t="n">
        <x:v>120</x:v>
      </x:c>
      <x:c r="I32" s="10" t="str">
        <x:v>katana</x:v>
      </x:c>
      <x:c r="J32" s="13" t="n">
        <x:v>64.2</x:v>
      </x:c>
      <x:c r="K32" s="10" t="str">
        <x:v>核心镜像</x:v>
      </x:c>
      <x:c r="L32" s="10" t="str">
        <x:v>是</x:v>
      </x:c>
      <x:c r="M32" s="10" t="str">
        <x:v>安装配方已包含，未实测</x:v>
      </x:c>
      <x:c r="N32" s="10" t="str">
        <x:v>headless模式另加浏览器共享成本</x:v>
      </x:c>
      <x:c r="O32" s="10" t="str">
        <x:v>hexstrike_mcp.py:2409</x:v>
      </x:c>
      <x:c r="P32" s="10" t="str">
        <x:v>SRC-MCP / SRC-SERVER / SRC-KALI / EST</x:v>
      </x:c>
    </x:row>
    <x:row r="33" ht="64" customHeight="1">
      <x:c r="A33" s="11" t="n">
        <x:v>25</x:v>
      </x:c>
      <x:c r="B33" s="9" t="str">
        <x:v>Hakrawler</x:v>
      </x:c>
      <x:c r="C33" s="10" t="str">
        <x:v>Web安全</x:v>
      </x:c>
      <x:c r="D33" s="10" t="str">
        <x:v>网页链接和脚本端点爬取</x:v>
      </x:c>
      <x:c r="E33" s="10" t="str">
        <x:v>已注册专用MCP</x:v>
      </x:c>
      <x:c r="F33" s="10" t="str">
        <x:v>hakrawler_crawl</x:v>
      </x:c>
      <x:c r="G33" s="14" t="n">
        <x:v>10</x:v>
      </x:c>
      <x:c r="H33" s="14" t="n">
        <x:v>40</x:v>
      </x:c>
      <x:c r="I33" s="10" t="str">
        <x:v>hakrawler</x:v>
      </x:c>
      <x:c r="J33" s="13" t="n">
        <x:v>9.37</x:v>
      </x:c>
      <x:c r="K33" s="10" t="str">
        <x:v>核心镜像</x:v>
      </x:c>
      <x:c r="L33" s="10" t="str">
        <x:v>是</x:v>
      </x:c>
      <x:c r="M33" s="10" t="str">
        <x:v>安装配方已包含，未实测</x:v>
      </x:c>
      <x:c r="N33" s="10" t="str">
        <x:v>轻量爬虫</x:v>
      </x:c>
      <x:c r="O33" s="10" t="str">
        <x:v>hexstrike_mcp.py:3351</x:v>
      </x:c>
      <x:c r="P33" s="10" t="str">
        <x:v>SRC-MCP / SRC-SERVER / SRC-KALI / EST</x:v>
      </x:c>
    </x:row>
    <x:row r="34" ht="64" customHeight="1">
      <x:c r="A34" s="11" t="n">
        <x:v>26</x:v>
      </x:c>
      <x:c r="B34" s="9" t="str">
        <x:v>Gau</x:v>
      </x:c>
      <x:c r="C34" s="10" t="str">
        <x:v>Web安全</x:v>
      </x:c>
      <x:c r="D34" s="10" t="str">
        <x:v>从公开归档收集历史URL</x:v>
      </x:c>
      <x:c r="E34" s="10" t="str">
        <x:v>已注册专用MCP</x:v>
      </x:c>
      <x:c r="F34" s="10" t="str">
        <x:v>gau_discovery</x:v>
      </x:c>
      <x:c r="G34" s="14" t="n">
        <x:v>15</x:v>
      </x:c>
      <x:c r="H34" s="14" t="n">
        <x:v>60</x:v>
      </x:c>
      <x:c r="I34" s="10" t="str">
        <x:v>非Kali主包/在线服务/未指定实现</x:v>
      </x:c>
      <x:c r="J34" s="13"/>
      <x:c r="K34" s="10" t="str">
        <x:v>核心镜像</x:v>
      </x:c>
      <x:c r="L34" s="10" t="str">
        <x:v>否</x:v>
      </x:c>
      <x:c r="M34" s="10" t="str">
        <x:v>安装配方已包含，未实测</x:v>
      </x:c>
      <x:c r="N34" s="10" t="str">
        <x:v>Go二进制；缓存另计</x:v>
      </x:c>
      <x:c r="O34" s="10" t="str">
        <x:v>hexstrike_mcp.py:2443</x:v>
      </x:c>
      <x:c r="P34" s="10" t="str">
        <x:v>SRC-MCP / SRC-SERVER / EST</x:v>
      </x:c>
    </x:row>
    <x:row r="35" ht="64" customHeight="1">
      <x:c r="A35" s="11" t="n">
        <x:v>27</x:v>
      </x:c>
      <x:c r="B35" s="9" t="str">
        <x:v>Waybackurls</x:v>
      </x:c>
      <x:c r="C35" s="10" t="str">
        <x:v>Web安全</x:v>
      </x:c>
      <x:c r="D35" s="10" t="str">
        <x:v>从Wayback收集历史URL</x:v>
      </x:c>
      <x:c r="E35" s="10" t="str">
        <x:v>已注册专用MCP</x:v>
      </x:c>
      <x:c r="F35" s="10" t="str">
        <x:v>waybackurls_discovery</x:v>
      </x:c>
      <x:c r="G35" s="14" t="n">
        <x:v>5</x:v>
      </x:c>
      <x:c r="H35" s="14" t="n">
        <x:v>20</x:v>
      </x:c>
      <x:c r="I35" s="10" t="str">
        <x:v>非Kali主包/在线服务/未指定实现</x:v>
      </x:c>
      <x:c r="J35" s="13"/>
      <x:c r="K35" s="10" t="str">
        <x:v>核心镜像</x:v>
      </x:c>
      <x:c r="L35" s="10" t="str">
        <x:v>否</x:v>
      </x:c>
      <x:c r="M35" s="10" t="str">
        <x:v>安装配方已包含，未实测</x:v>
      </x:c>
      <x:c r="N35" s="10" t="str">
        <x:v>Go二进制</x:v>
      </x:c>
      <x:c r="O35" s="10" t="str">
        <x:v>hexstrike_mcp.py:2475</x:v>
      </x:c>
      <x:c r="P35" s="10" t="str">
        <x:v>SRC-MCP / SRC-SERVER / EST</x:v>
      </x:c>
    </x:row>
    <x:row r="36" ht="64" customHeight="1">
      <x:c r="A36" s="11" t="n">
        <x:v>28</x:v>
      </x:c>
      <x:c r="B36" s="9" t="str">
        <x:v>Nuclei</x:v>
      </x:c>
      <x:c r="C36" s="10" t="str">
        <x:v>Web安全</x:v>
      </x:c>
      <x:c r="D36" s="10" t="str">
        <x:v>按模板检测漏洞和配置问题</x:v>
      </x:c>
      <x:c r="E36" s="10" t="str">
        <x:v>已注册专用MCP</x:v>
      </x:c>
      <x:c r="F36" s="10" t="str">
        <x:v>nuclei_scan</x:v>
      </x:c>
      <x:c r="G36" s="14" t="n">
        <x:v>140</x:v>
      </x:c>
      <x:c r="H36" s="14" t="n">
        <x:v>240</x:v>
      </x:c>
      <x:c r="I36" s="10" t="str">
        <x:v>nuclei</x:v>
      </x:c>
      <x:c r="J36" s="13" t="n">
        <x:v>136.31</x:v>
      </x:c>
      <x:c r="K36" s="10" t="str">
        <x:v>核心镜像</x:v>
      </x:c>
      <x:c r="L36" s="10" t="str">
        <x:v>是</x:v>
      </x:c>
      <x:c r="M36" s="10" t="str">
        <x:v>安装配方已包含，未实测</x:v>
      </x:c>
      <x:c r="N36" s="10" t="str">
        <x:v>模板另估60–500MiB；需更新策略</x:v>
      </x:c>
      <x:c r="O36" s="10" t="str">
        <x:v>hexstrike_mcp.py:371</x:v>
      </x:c>
      <x:c r="P36" s="10" t="str">
        <x:v>SRC-MCP / SRC-SERVER / SRC-KALI / EST</x:v>
      </x:c>
    </x:row>
    <x:row r="37" ht="64" customHeight="1">
      <x:c r="A37" s="11" t="n">
        <x:v>29</x:v>
      </x:c>
      <x:c r="B37" s="9" t="str">
        <x:v>Nikto</x:v>
      </x:c>
      <x:c r="C37" s="10" t="str">
        <x:v>Web安全</x:v>
      </x:c>
      <x:c r="D37" s="10" t="str">
        <x:v>Web服务器配置和已知风险检查</x:v>
      </x:c>
      <x:c r="E37" s="10" t="str">
        <x:v>已注册专用MCP</x:v>
      </x:c>
      <x:c r="F37" s="10" t="str">
        <x:v>nikto_scan</x:v>
      </x:c>
      <x:c r="G37" s="14" t="n">
        <x:v>10</x:v>
      </x:c>
      <x:c r="H37" s="14" t="n">
        <x:v>40</x:v>
      </x:c>
      <x:c r="I37" s="10" t="str">
        <x:v>非Kali主包/在线服务/未指定实现</x:v>
      </x:c>
      <x:c r="J37" s="13"/>
      <x:c r="K37" s="10" t="str">
        <x:v>核心镜像</x:v>
      </x:c>
      <x:c r="L37" s="10" t="str">
        <x:v>是</x:v>
      </x:c>
      <x:c r="M37" s="10" t="str">
        <x:v>安装配方已包含，未实测</x:v>
      </x:c>
      <x:c r="N37" s="10" t="str">
        <x:v>安装源为Nikto源码和Perl；检查库另计</x:v>
      </x:c>
      <x:c r="O37" s="10" t="str">
        <x:v>hexstrike_mcp.py:1027</x:v>
      </x:c>
      <x:c r="P37" s="10" t="str">
        <x:v>SRC-MCP / SRC-SERVER / EST</x:v>
      </x:c>
    </x:row>
    <x:row r="38" ht="64" customHeight="1">
      <x:c r="A38" s="11" t="n">
        <x:v>30</x:v>
      </x:c>
      <x:c r="B38" s="9" t="str">
        <x:v>SQLMap</x:v>
      </x:c>
      <x:c r="C38" s="10" t="str">
        <x:v>Web安全</x:v>
      </x:c>
      <x:c r="D38" s="10" t="str">
        <x:v>自动检测和验证SQL注入</x:v>
      </x:c>
      <x:c r="E38" s="10" t="str">
        <x:v>已注册专用MCP</x:v>
      </x:c>
      <x:c r="F38" s="10" t="str">
        <x:v>sqlmap_scan</x:v>
      </x:c>
      <x:c r="G38" s="14" t="n">
        <x:v>15</x:v>
      </x:c>
      <x:c r="H38" s="14" t="n">
        <x:v>60</x:v>
      </x:c>
      <x:c r="I38" s="10" t="str">
        <x:v>sqlmap</x:v>
      </x:c>
      <x:c r="J38" s="13" t="n">
        <x:v>13</x:v>
      </x:c>
      <x:c r="K38" s="10" t="str">
        <x:v>核心镜像</x:v>
      </x:c>
      <x:c r="L38" s="10" t="str">
        <x:v>是</x:v>
      </x:c>
      <x:c r="M38" s="10" t="str">
        <x:v>安装配方已包含，未实测</x:v>
      </x:c>
      <x:c r="N38" s="10" t="str">
        <x:v>会话、下载数据另计</x:v>
      </x:c>
      <x:c r="O38" s="10" t="str">
        <x:v>hexstrike_mcp.py:1051</x:v>
      </x:c>
      <x:c r="P38" s="10" t="str">
        <x:v>SRC-MCP / SRC-SERVER / SRC-KALI / EST</x:v>
      </x:c>
    </x:row>
    <x:row r="39" ht="64" customHeight="1">
      <x:c r="A39" s="11" t="n">
        <x:v>31</x:v>
      </x:c>
      <x:c r="B39" s="9" t="str">
        <x:v>WPScan</x:v>
      </x:c>
      <x:c r="C39" s="10" t="str">
        <x:v>Web安全</x:v>
      </x:c>
      <x:c r="D39" s="10" t="str">
        <x:v>WordPress核心、插件和主题风险检查</x:v>
      </x:c>
      <x:c r="E39" s="10" t="str">
        <x:v>已注册专用MCP</x:v>
      </x:c>
      <x:c r="F39" s="10" t="str">
        <x:v>wpscan_analyze</x:v>
      </x:c>
      <x:c r="G39" s="14" t="n">
        <x:v>30</x:v>
      </x:c>
      <x:c r="H39" s="14" t="n">
        <x:v>120</x:v>
      </x:c>
      <x:c r="I39" s="10" t="str">
        <x:v>非Kali主包/在线服务/未指定实现</x:v>
      </x:c>
      <x:c r="J39" s="13"/>
      <x:c r="K39" s="10" t="str">
        <x:v>可选Web镜像</x:v>
      </x:c>
      <x:c r="L39" s="10" t="str">
        <x:v>否</x:v>
      </x:c>
      <x:c r="M39" s="10" t="str">
        <x:v>安装配方已包含，未实测</x:v>
      </x:c>
      <x:c r="N39" s="10" t="str">
        <x:v>Ruby首次引入另估80–200MiB；部分漏洞数据需令牌</x:v>
      </x:c>
      <x:c r="O39" s="10" t="str">
        <x:v>hexstrike_mcp.py:1176</x:v>
      </x:c>
      <x:c r="P39" s="10" t="str">
        <x:v>SRC-MCP / SRC-SERVER / EST</x:v>
      </x:c>
    </x:row>
    <x:row r="40" ht="64" customHeight="1">
      <x:c r="A40" s="11" t="n">
        <x:v>32</x:v>
      </x:c>
      <x:c r="B40" s="9" t="str">
        <x:v>Arjun</x:v>
      </x:c>
      <x:c r="C40" s="10" t="str">
        <x:v>Web安全</x:v>
      </x:c>
      <x:c r="D40" s="10" t="str">
        <x:v>发现HTTP隐藏参数</x:v>
      </x:c>
      <x:c r="E40" s="10" t="str">
        <x:v>已注册专用MCP</x:v>
      </x:c>
      <x:c r="F40" s="10" t="str">
        <x:v>arjun_parameter_discovery, arjun_scan</x:v>
      </x:c>
      <x:c r="G40" s="14" t="n">
        <x:v>5</x:v>
      </x:c>
      <x:c r="H40" s="14" t="n">
        <x:v>35</x:v>
      </x:c>
      <x:c r="I40" s="10" t="str">
        <x:v>arjun</x:v>
      </x:c>
      <x:c r="J40" s="13" t="n">
        <x:v>0.34</x:v>
      </x:c>
      <x:c r="K40" s="10" t="str">
        <x:v>核心镜像</x:v>
      </x:c>
      <x:c r="L40" s="10" t="str">
        <x:v>是</x:v>
      </x:c>
      <x:c r="M40" s="10" t="str">
        <x:v>安装配方已包含，未实测</x:v>
      </x:c>
      <x:c r="N40" s="10" t="str">
        <x:v>Python共享环境</x:v>
      </x:c>
      <x:c r="O40" s="10" t="str">
        <x:v>hexstrike_mcp.py:2504; hexstrike_mcp.py:3536</x:v>
      </x:c>
      <x:c r="P40" s="10" t="str">
        <x:v>SRC-MCP / SRC-SERVER / SRC-KALI / EST</x:v>
      </x:c>
    </x:row>
    <x:row r="41" ht="64" customHeight="1">
      <x:c r="A41" s="11" t="n">
        <x:v>33</x:v>
      </x:c>
      <x:c r="B41" s="9" t="str">
        <x:v>ParamSpider</x:v>
      </x:c>
      <x:c r="C41" s="10" t="str">
        <x:v>Web安全</x:v>
      </x:c>
      <x:c r="D41" s="10" t="str">
        <x:v>从历史URL提取参数地址</x:v>
      </x:c>
      <x:c r="E41" s="10" t="str">
        <x:v>已注册专用MCP</x:v>
      </x:c>
      <x:c r="F41" s="10" t="str">
        <x:v>paramspider_mining, paramspider_discovery</x:v>
      </x:c>
      <x:c r="G41" s="14" t="n">
        <x:v>5</x:v>
      </x:c>
      <x:c r="H41" s="14" t="n">
        <x:v>30</x:v>
      </x:c>
      <x:c r="I41" s="10" t="str">
        <x:v>paramspider</x:v>
      </x:c>
      <x:c r="J41" s="13" t="n">
        <x:v>0.04</x:v>
      </x:c>
      <x:c r="K41" s="10" t="str">
        <x:v>适配后纳入</x:v>
      </x:c>
      <x:c r="L41" s="10" t="str">
        <x:v>否</x:v>
      </x:c>
      <x:c r="M41" s="10" t="str">
        <x:v>安装配方已包含，未实测</x:v>
      </x:c>
      <x:c r="N41" s="10" t="str">
        <x:v>上游传参-l level与当前CLI语义需核对</x:v>
      </x:c>
      <x:c r="O41" s="10" t="str">
        <x:v>hexstrike_mcp.py:2540; hexstrike_mcp.py:3428</x:v>
      </x:c>
      <x:c r="P41" s="10" t="str">
        <x:v>SRC-MCP / SRC-SERVER / SRC-KALI / EST</x:v>
      </x:c>
    </x:row>
    <x:row r="42" ht="64" customHeight="1">
      <x:c r="A42" s="11" t="n">
        <x:v>34</x:v>
      </x:c>
      <x:c r="B42" s="9" t="str">
        <x:v>X8</x:v>
      </x:c>
      <x:c r="C42" s="10" t="str">
        <x:v>Web安全</x:v>
      </x:c>
      <x:c r="D42" s="10" t="str">
        <x:v>通过响应差异发现隐藏参数</x:v>
      </x:c>
      <x:c r="E42" s="10" t="str">
        <x:v>已注册专用MCP</x:v>
      </x:c>
      <x:c r="F42" s="10" t="str">
        <x:v>x8_parameter_discovery</x:v>
      </x:c>
      <x:c r="G42" s="14" t="n">
        <x:v>5</x:v>
      </x:c>
      <x:c r="H42" s="14" t="n">
        <x:v>25</x:v>
      </x:c>
      <x:c r="I42" s="10" t="str">
        <x:v>非Kali主包/在线服务/未指定实现</x:v>
      </x:c>
      <x:c r="J42" s="13"/>
      <x:c r="K42" s="10" t="str">
        <x:v>核心镜像</x:v>
      </x:c>
      <x:c r="L42" s="10" t="str">
        <x:v>否</x:v>
      </x:c>
      <x:c r="M42" s="10" t="str">
        <x:v>安装配方已包含，未实测</x:v>
      </x:c>
      <x:c r="N42" s="10" t="str">
        <x:v>补充Rust二进制</x:v>
      </x:c>
      <x:c r="O42" s="10" t="str">
        <x:v>hexstrike_mcp.py:2572</x:v>
      </x:c>
      <x:c r="P42" s="10" t="str">
        <x:v>SRC-MCP / SRC-SERVER / EST</x:v>
      </x:c>
    </x:row>
    <x:row r="43" ht="64" customHeight="1">
      <x:c r="A43" s="11" t="n">
        <x:v>35</x:v>
      </x:c>
      <x:c r="B43" s="9" t="str">
        <x:v>Jaeles</x:v>
      </x:c>
      <x:c r="C43" s="10" t="str">
        <x:v>Web安全</x:v>
      </x:c>
      <x:c r="D43" s="10" t="str">
        <x:v>按自定义签名执行Web检查</x:v>
      </x:c>
      <x:c r="E43" s="10" t="str">
        <x:v>已注册专用MCP</x:v>
      </x:c>
      <x:c r="F43" s="10" t="str">
        <x:v>jaeles_vulnerability_scan</x:v>
      </x:c>
      <x:c r="G43" s="14" t="n">
        <x:v>30</x:v>
      </x:c>
      <x:c r="H43" s="14" t="n">
        <x:v>100</x:v>
      </x:c>
      <x:c r="I43" s="10" t="str">
        <x:v>非Kali主包/在线服务/未指定实现</x:v>
      </x:c>
      <x:c r="J43" s="13"/>
      <x:c r="K43" s="10" t="str">
        <x:v>可选Web镜像</x:v>
      </x:c>
      <x:c r="L43" s="10" t="str">
        <x:v>否</x:v>
      </x:c>
      <x:c r="M43" s="10" t="str">
        <x:v>安装配方已包含，未实测</x:v>
      </x:c>
      <x:c r="N43" s="10" t="str">
        <x:v>签名库另计</x:v>
      </x:c>
      <x:c r="O43" s="10" t="str">
        <x:v>hexstrike_mcp.py:2606</x:v>
      </x:c>
      <x:c r="P43" s="10" t="str">
        <x:v>SRC-MCP / SRC-SERVER / EST</x:v>
      </x:c>
    </x:row>
    <x:row r="44" ht="64" customHeight="1">
      <x:c r="A44" s="11" t="n">
        <x:v>36</x:v>
      </x:c>
      <x:c r="B44" s="9" t="str">
        <x:v>Dalfox</x:v>
      </x:c>
      <x:c r="C44" s="10" t="str">
        <x:v>Web安全</x:v>
      </x:c>
      <x:c r="D44" s="10" t="str">
        <x:v>XSS发现和验证</x:v>
      </x:c>
      <x:c r="E44" s="10" t="str">
        <x:v>已注册专用MCP</x:v>
      </x:c>
      <x:c r="F44" s="10" t="str">
        <x:v>dalfox_xss_scan</x:v>
      </x:c>
      <x:c r="G44" s="14" t="n">
        <x:v>30</x:v>
      </x:c>
      <x:c r="H44" s="14" t="n">
        <x:v>100</x:v>
      </x:c>
      <x:c r="I44" s="10" t="str">
        <x:v>dalfox</x:v>
      </x:c>
      <x:c r="J44" s="13" t="n">
        <x:v>13.97</x:v>
      </x:c>
      <x:c r="K44" s="10" t="str">
        <x:v>核心镜像</x:v>
      </x:c>
      <x:c r="L44" s="10" t="str">
        <x:v>否</x:v>
      </x:c>
      <x:c r="M44" s="10" t="str">
        <x:v>安装配方已包含，未实测</x:v>
      </x:c>
      <x:c r="N44" s="10" t="str">
        <x:v>浏览器联动另计</x:v>
      </x:c>
      <x:c r="O44" s="10" t="str">
        <x:v>hexstrike_mcp.py:2640</x:v>
      </x:c>
      <x:c r="P44" s="10" t="str">
        <x:v>SRC-MCP / SRC-SERVER / SRC-KALI / EST</x:v>
      </x:c>
    </x:row>
    <x:row r="45" ht="64" customHeight="1">
      <x:c r="A45" s="11" t="n">
        <x:v>37</x:v>
      </x:c>
      <x:c r="B45" s="9" t="str">
        <x:v>Wafw00f</x:v>
      </x:c>
      <x:c r="C45" s="10" t="str">
        <x:v>Web安全</x:v>
      </x:c>
      <x:c r="D45" s="10" t="str">
        <x:v>识别Web应用防火墙</x:v>
      </x:c>
      <x:c r="E45" s="10" t="str">
        <x:v>已注册专用MCP</x:v>
      </x:c>
      <x:c r="F45" s="10" t="str">
        <x:v>wafw00f_scan</x:v>
      </x:c>
      <x:c r="G45" s="14" t="n">
        <x:v>3</x:v>
      </x:c>
      <x:c r="H45" s="14" t="n">
        <x:v>20</x:v>
      </x:c>
      <x:c r="I45" s="10" t="str">
        <x:v>wafw00f</x:v>
      </x:c>
      <x:c r="J45" s="13" t="n">
        <x:v>0.26</x:v>
      </x:c>
      <x:c r="K45" s="10" t="str">
        <x:v>核心镜像</x:v>
      </x:c>
      <x:c r="L45" s="10" t="str">
        <x:v>是</x:v>
      </x:c>
      <x:c r="M45" s="10" t="str">
        <x:v>安装配方已包含，未实测</x:v>
      </x:c>
      <x:c r="N45" s="10" t="str">
        <x:v>Python共享环境</x:v>
      </x:c>
      <x:c r="O45" s="10" t="str">
        <x:v>hexstrike_mcp.py:3570</x:v>
      </x:c>
      <x:c r="P45" s="10" t="str">
        <x:v>SRC-MCP / SRC-SERVER / SRC-KALI / EST</x:v>
      </x:c>
    </x:row>
    <x:row r="46" ht="64" customHeight="1">
      <x:c r="A46" s="11" t="n">
        <x:v>38</x:v>
      </x:c>
      <x:c r="B46" s="9" t="str">
        <x:v>TestSSL</x:v>
      </x:c>
      <x:c r="C46" s="10" t="str">
        <x:v>TLS安全</x:v>
      </x:c>
      <x:c r="D46" s="10" t="str">
        <x:v>TLS协议、密码套件和证书检查</x:v>
      </x:c>
      <x:c r="E46" s="10" t="str">
        <x:v>仅README列举</x:v>
      </x:c>
      <x:c r="F46" s="10" t="str">
        <x:v>无专用MCP</x:v>
      </x:c>
      <x:c r="G46" s="14" t="n">
        <x:v>5</x:v>
      </x:c>
      <x:c r="H46" s="14" t="n">
        <x:v>25</x:v>
      </x:c>
      <x:c r="I46" s="10" t="str">
        <x:v>testssl.sh</x:v>
      </x:c>
      <x:c r="J46" s="13" t="n">
        <x:v>3.57</x:v>
      </x:c>
      <x:c r="K46" s="10" t="str">
        <x:v>先封装再纳入</x:v>
      </x:c>
      <x:c r="L46" s="10" t="str">
        <x:v>否</x:v>
      </x:c>
      <x:c r="M46" s="10" t="str">
        <x:v>未显式安装</x:v>
      </x:c>
      <x:c r="N46" s="10" t="str">
        <x:v>无专用MCP接口；可作为后续轻量补充</x:v>
      </x:c>
      <x:c r="O46" s="10" t="str">
        <x:v>README.md:Security Tools Arsenal</x:v>
      </x:c>
      <x:c r="P46" s="10" t="str">
        <x:v>SRC-MCP / SRC-SERVER / SRC-KALI / EST</x:v>
      </x:c>
    </x:row>
    <x:row r="47" ht="64" customHeight="1">
      <x:c r="A47" s="11" t="n">
        <x:v>39</x:v>
      </x:c>
      <x:c r="B47" s="9" t="str">
        <x:v>SSLScan</x:v>
      </x:c>
      <x:c r="C47" s="10" t="str">
        <x:v>TLS安全</x:v>
      </x:c>
      <x:c r="D47" s="10" t="str">
        <x:v>枚举TLS协议和密码套件</x:v>
      </x:c>
      <x:c r="E47" s="10" t="str">
        <x:v>仅README列举</x:v>
      </x:c>
      <x:c r="F47" s="10" t="str">
        <x:v>无专用MCP</x:v>
      </x:c>
      <x:c r="G47" s="14" t="n">
        <x:v>1</x:v>
      </x:c>
      <x:c r="H47" s="14" t="n">
        <x:v>15</x:v>
      </x:c>
      <x:c r="I47" s="10" t="str">
        <x:v>sslscan</x:v>
      </x:c>
      <x:c r="J47" s="13" t="n">
        <x:v>0.17</x:v>
      </x:c>
      <x:c r="K47" s="10" t="str">
        <x:v>先封装再纳入</x:v>
      </x:c>
      <x:c r="L47" s="10" t="str">
        <x:v>否</x:v>
      </x:c>
      <x:c r="M47" s="10" t="str">
        <x:v>未显式安装</x:v>
      </x:c>
      <x:c r="N47" s="10" t="str">
        <x:v>无专用MCP接口</x:v>
      </x:c>
      <x:c r="O47" s="10" t="str">
        <x:v>README.md:Security Tools Arsenal</x:v>
      </x:c>
      <x:c r="P47" s="10" t="str">
        <x:v>SRC-MCP / SRC-SERVER / SRC-KALI / EST</x:v>
      </x:c>
    </x:row>
    <x:row r="48" ht="64" customHeight="1">
      <x:c r="A48" s="11" t="n">
        <x:v>40</x:v>
      </x:c>
      <x:c r="B48" s="9" t="str">
        <x:v>SSLyze</x:v>
      </x:c>
      <x:c r="C48" s="10" t="str">
        <x:v>TLS安全</x:v>
      </x:c>
      <x:c r="D48" s="10" t="str">
        <x:v>检查TLS证书和加密配置</x:v>
      </x:c>
      <x:c r="E48" s="10" t="str">
        <x:v>仅README列举</x:v>
      </x:c>
      <x:c r="F48" s="10" t="str">
        <x:v>无专用MCP</x:v>
      </x:c>
      <x:c r="G48" s="14" t="n">
        <x:v>15</x:v>
      </x:c>
      <x:c r="H48" s="14" t="n">
        <x:v>80</x:v>
      </x:c>
      <x:c r="I48" s="10" t="str">
        <x:v>sslyze</x:v>
      </x:c>
      <x:c r="J48" s="13" t="n">
        <x:v>2.19</x:v>
      </x:c>
      <x:c r="K48" s="10" t="str">
        <x:v>先封装再纳入</x:v>
      </x:c>
      <x:c r="L48" s="10" t="str">
        <x:v>否</x:v>
      </x:c>
      <x:c r="M48" s="10" t="str">
        <x:v>未显式安装</x:v>
      </x:c>
      <x:c r="N48" s="10" t="str">
        <x:v>无专用MCP接口；含原生加密依赖</x:v>
      </x:c>
      <x:c r="O48" s="10" t="str">
        <x:v>README.md:Security Tools Arsenal</x:v>
      </x:c>
      <x:c r="P48" s="10" t="str">
        <x:v>SRC-MCP / SRC-SERVER / SRC-KALI / EST</x:v>
      </x:c>
    </x:row>
    <x:row r="49" ht="64" customHeight="1">
      <x:c r="A49" s="11" t="n">
        <x:v>41</x:v>
      </x:c>
      <x:c r="B49" s="9" t="str">
        <x:v>Anew</x:v>
      </x:c>
      <x:c r="C49" s="10" t="str">
        <x:v>Web辅助</x:v>
      </x:c>
      <x:c r="D49" s="10" t="str">
        <x:v>追加不重复文本行</x:v>
      </x:c>
      <x:c r="E49" s="10" t="str">
        <x:v>已注册专用MCP</x:v>
      </x:c>
      <x:c r="F49" s="10" t="str">
        <x:v>anew_data_processing</x:v>
      </x:c>
      <x:c r="G49" s="14" t="n">
        <x:v>2</x:v>
      </x:c>
      <x:c r="H49" s="14" t="n">
        <x:v>10</x:v>
      </x:c>
      <x:c r="I49" s="10" t="str">
        <x:v>非Kali主包/在线服务/未指定实现</x:v>
      </x:c>
      <x:c r="J49" s="13"/>
      <x:c r="K49" s="10" t="str">
        <x:v>核心镜像</x:v>
      </x:c>
      <x:c r="L49" s="10" t="str">
        <x:v>是</x:v>
      </x:c>
      <x:c r="M49" s="10" t="str">
        <x:v>安装配方已包含，未实测</x:v>
      </x:c>
      <x:c r="N49" s="10" t="str">
        <x:v>轻量去重工具</x:v>
      </x:c>
      <x:c r="O49" s="10" t="str">
        <x:v>hexstrike_mcp.py:2717</x:v>
      </x:c>
      <x:c r="P49" s="10" t="str">
        <x:v>SRC-MCP / SRC-SERVER / EST</x:v>
      </x:c>
    </x:row>
    <x:row r="50" ht="64" customHeight="1">
      <x:c r="A50" s="11" t="n">
        <x:v>42</x:v>
      </x:c>
      <x:c r="B50" s="9" t="str">
        <x:v>QSReplace</x:v>
      </x:c>
      <x:c r="C50" s="10" t="str">
        <x:v>Web辅助</x:v>
      </x:c>
      <x:c r="D50" s="10" t="str">
        <x:v>批量替换URL参数值</x:v>
      </x:c>
      <x:c r="E50" s="10" t="str">
        <x:v>已注册专用MCP</x:v>
      </x:c>
      <x:c r="F50" s="10" t="str">
        <x:v>qsreplace_parameter_replacement</x:v>
      </x:c>
      <x:c r="G50" s="14" t="n">
        <x:v>2</x:v>
      </x:c>
      <x:c r="H50" s="14" t="n">
        <x:v>10</x:v>
      </x:c>
      <x:c r="I50" s="10" t="str">
        <x:v>qsreplace</x:v>
      </x:c>
      <x:c r="J50" s="13" t="n">
        <x:v>1.76</x:v>
      </x:c>
      <x:c r="K50" s="10" t="str">
        <x:v>核心镜像</x:v>
      </x:c>
      <x:c r="L50" s="10" t="str">
        <x:v>是</x:v>
      </x:c>
      <x:c r="M50" s="10" t="str">
        <x:v>安装配方已包含，未实测</x:v>
      </x:c>
      <x:c r="N50" s="10" t="str">
        <x:v>轻量管道工具</x:v>
      </x:c>
      <x:c r="O50" s="10" t="str">
        <x:v>hexstrike_mcp.py:2744</x:v>
      </x:c>
      <x:c r="P50" s="10" t="str">
        <x:v>SRC-MCP / SRC-SERVER / SRC-KALI / EST</x:v>
      </x:c>
    </x:row>
    <x:row r="51" ht="64" customHeight="1">
      <x:c r="A51" s="11" t="n">
        <x:v>43</x:v>
      </x:c>
      <x:c r="B51" s="9" t="str">
        <x:v>Uro</x:v>
      </x:c>
      <x:c r="C51" s="10" t="str">
        <x:v>Web辅助</x:v>
      </x:c>
      <x:c r="D51" s="10" t="str">
        <x:v>归并相似URL减少重复测试</x:v>
      </x:c>
      <x:c r="E51" s="10" t="str">
        <x:v>已注册专用MCP</x:v>
      </x:c>
      <x:c r="F51" s="10" t="str">
        <x:v>uro_url_filtering</x:v>
      </x:c>
      <x:c r="G51" s="14" t="n">
        <x:v>1</x:v>
      </x:c>
      <x:c r="H51" s="14" t="n">
        <x:v>10</x:v>
      </x:c>
      <x:c r="I51" s="10" t="str">
        <x:v>uro</x:v>
      </x:c>
      <x:c r="J51" s="13" t="n">
        <x:v>0.04</x:v>
      </x:c>
      <x:c r="K51" s="10" t="str">
        <x:v>核心镜像</x:v>
      </x:c>
      <x:c r="L51" s="10" t="str">
        <x:v>是</x:v>
      </x:c>
      <x:c r="M51" s="10" t="str">
        <x:v>安装配方已包含，未实测</x:v>
      </x:c>
      <x:c r="N51" s="10" t="str">
        <x:v>轻量Python管道工具</x:v>
      </x:c>
      <x:c r="O51" s="10" t="str">
        <x:v>hexstrike_mcp.py:2771</x:v>
      </x:c>
      <x:c r="P51" s="10" t="str">
        <x:v>SRC-MCP / SRC-SERVER / SRC-KALI / EST</x:v>
      </x:c>
    </x:row>
    <x:row r="52" ht="64" customHeight="1">
      <x:c r="A52" s="11" t="n">
        <x:v>44</x:v>
      </x:c>
      <x:c r="B52" s="9" t="str">
        <x:v>WhatWeb</x:v>
      </x:c>
      <x:c r="C52" s="10" t="str">
        <x:v>Web安全</x:v>
      </x:c>
      <x:c r="D52" s="10" t="str">
        <x:v>识别CMS、框架和服务器指纹</x:v>
      </x:c>
      <x:c r="E52" s="10" t="str">
        <x:v>仅后端命令映射</x:v>
      </x:c>
      <x:c r="F52" s="10" t="str">
        <x:v>无专用MCP</x:v>
      </x:c>
      <x:c r="G52" s="14" t="n">
        <x:v>20</x:v>
      </x:c>
      <x:c r="H52" s="14" t="n">
        <x:v>60</x:v>
      </x:c>
      <x:c r="I52" s="10" t="str">
        <x:v>whatweb</x:v>
      </x:c>
      <x:c r="J52" s="13" t="n">
        <x:v>18.76</x:v>
      </x:c>
      <x:c r="K52" s="10" t="str">
        <x:v>先封装再纳入</x:v>
      </x:c>
      <x:c r="L52" s="10" t="str">
        <x:v>否</x:v>
      </x:c>
      <x:c r="M52" s="10" t="str">
        <x:v>未显式安装</x:v>
      </x:c>
      <x:c r="N52" s="10" t="str">
        <x:v>仅后端命令映射；Ruby首次引入另计；CTF自动步骤主要输出命令/模拟成功，不应算已执行集成</x:v>
      </x:c>
      <x:c r="O52" s="10" t="str">
        <x:v>hexstrike_server.py:3509</x:v>
      </x:c>
      <x:c r="P52" s="10" t="str">
        <x:v>SRC-MCP / SRC-SERVER / SRC-KALI / EST</x:v>
      </x:c>
    </x:row>
    <x:row r="53" ht="64" customHeight="1">
      <x:c r="A53" s="11" t="n">
        <x:v>45</x:v>
      </x:c>
      <x:c r="B53" s="9" t="str">
        <x:v>JWT-Tool</x:v>
      </x:c>
      <x:c r="C53" s="10" t="str">
        <x:v>API安全</x:v>
      </x:c>
      <x:c r="D53" s="10" t="str">
        <x:v>JWT签名、算法和令牌处理测试</x:v>
      </x:c>
      <x:c r="E53" s="10" t="str">
        <x:v>仅后端命令映射</x:v>
      </x:c>
      <x:c r="F53" s="10" t="str">
        <x:v>无专用MCP</x:v>
      </x:c>
      <x:c r="G53" s="14" t="n">
        <x:v>5</x:v>
      </x:c>
      <x:c r="H53" s="14" t="n">
        <x:v>40</x:v>
      </x:c>
      <x:c r="I53" s="10" t="str">
        <x:v>非Kali主包/在线服务/未指定实现</x:v>
      </x:c>
      <x:c r="J53" s="13"/>
      <x:c r="K53" s="10" t="str">
        <x:v>先封装再纳入</x:v>
      </x:c>
      <x:c r="L53" s="10" t="str">
        <x:v>否</x:v>
      </x:c>
      <x:c r="M53" s="10" t="str">
        <x:v>未显式安装</x:v>
      </x:c>
      <x:c r="N53" s="10" t="str">
        <x:v>jwt_analyzer是内置实现，不等于jwt_tool注册；CTF自动步骤主要输出命令/模拟成功，不应算已执行集成；内置jwt_analyzer可用，但不等于外部JWT-Tool已接入</x:v>
      </x:c>
      <x:c r="O53" s="10" t="str">
        <x:v>hexstrike_server.py:3645</x:v>
      </x:c>
      <x:c r="P53" s="10" t="str">
        <x:v>SRC-MCP / SRC-SERVER / EST</x:v>
      </x:c>
    </x:row>
    <x:row r="54" ht="64" customHeight="1">
      <x:c r="A54" s="11" t="n">
        <x:v>46</x:v>
      </x:c>
      <x:c r="B54" s="9" t="str">
        <x:v>GraphQL-Voyager</x:v>
      </x:c>
      <x:c r="C54" s="10" t="str">
        <x:v>API辅助</x:v>
      </x:c>
      <x:c r="D54" s="10" t="str">
        <x:v>GraphQL Schema关系可视化</x:v>
      </x:c>
      <x:c r="E54" s="10" t="str">
        <x:v>仅后端命令映射</x:v>
      </x:c>
      <x:c r="F54" s="10" t="str">
        <x:v>无专用MCP</x:v>
      </x:c>
      <x:c r="G54" s="14" t="n">
        <x:v>20</x:v>
      </x:c>
      <x:c r="H54" s="14" t="n">
        <x:v>150</x:v>
      </x:c>
      <x:c r="I54" s="10" t="str">
        <x:v>非Kali主包/在线服务/未指定实现</x:v>
      </x:c>
      <x:c r="J54" s="13"/>
      <x:c r="K54" s="10" t="str">
        <x:v>暂不纳入</x:v>
      </x:c>
      <x:c r="L54" s="10" t="str">
        <x:v>否</x:v>
      </x:c>
      <x:c r="M54" s="10" t="str">
        <x:v>未显式安装</x:v>
      </x:c>
      <x:c r="N54" s="10" t="str">
        <x:v>Web可视化组件；后端命令映射不等于可运行CLI；CTF自动步骤主要输出命令/模拟成功，不应算已执行集成</x:v>
      </x:c>
      <x:c r="O54" s="10" t="str">
        <x:v>hexstrike_server.py:3647</x:v>
      </x:c>
      <x:c r="P54" s="10" t="str">
        <x:v>SRC-MCP / SRC-SERVER / EST</x:v>
      </x:c>
    </x:row>
    <x:row r="55" ht="64" customHeight="1">
      <x:c r="A55" s="11" t="n">
        <x:v>47</x:v>
      </x:c>
      <x:c r="B55" s="9" t="str">
        <x:v>Burp Suite Extensions</x:v>
      </x:c>
      <x:c r="C55" s="10" t="str">
        <x:v>Web安全</x:v>
      </x:c>
      <x:c r="D55" s="10" t="str">
        <x:v>扩展Burp分析和检测能力</x:v>
      </x:c>
      <x:c r="E55" s="10" t="str">
        <x:v>未注册具体扩展</x:v>
      </x:c>
      <x:c r="F55" s="10" t="str">
        <x:v>无专用MCP</x:v>
      </x:c>
      <x:c r="G55" s="14"/>
      <x:c r="H55" s="14"/>
      <x:c r="I55" s="10" t="str">
        <x:v>非Kali主包/在线服务/未指定实现</x:v>
      </x:c>
      <x:c r="J55" s="13"/>
      <x:c r="K55" s="10" t="str">
        <x:v>暂不纳入</x:v>
      </x:c>
      <x:c r="L55" s="10" t="str">
        <x:v>否</x:v>
      </x:c>
      <x:c r="M55" s="10" t="str">
        <x:v>只安装Burp Community，未安装指定扩展</x:v>
      </x:c>
      <x:c r="N55" s="10" t="str">
        <x:v>未指定扩展集合无法估算；Burp扫描接口有注册但无后端路由；接口存在不代表扩展已集成</x:v>
      </x:c>
      <x:c r="O55" s="10" t="str">
        <x:v>hexstrike_mcp.py:3462</x:v>
      </x:c>
      <x:c r="P55" s="10" t="str">
        <x:v>SRC-MCP / SRC-SERVER / EST</x:v>
      </x:c>
    </x:row>
    <x:row r="56" ht="64" customHeight="1">
      <x:c r="A56" s="11" t="n">
        <x:v>48</x:v>
      </x:c>
      <x:c r="B56" s="9" t="str">
        <x:v>ZAP Proxy</x:v>
      </x:c>
      <x:c r="C56" s="10" t="str">
        <x:v>Web安全</x:v>
      </x:c>
      <x:c r="D56" s="10" t="str">
        <x:v>代理、爬虫与自动Web扫描</x:v>
      </x:c>
      <x:c r="E56" s="10" t="str">
        <x:v>已注册专用MCP</x:v>
      </x:c>
      <x:c r="F56" s="10" t="str">
        <x:v>zap_scan</x:v>
      </x:c>
      <x:c r="G56" s="14" t="n">
        <x:v>270</x:v>
      </x:c>
      <x:c r="H56" s="14" t="n">
        <x:v>500</x:v>
      </x:c>
      <x:c r="I56" s="10" t="str">
        <x:v>zaproxy</x:v>
      </x:c>
      <x:c r="J56" s="13" t="n">
        <x:v>266.9</x:v>
      </x:c>
      <x:c r="K56" s="10" t="str">
        <x:v>可选Web镜像</x:v>
      </x:c>
      <x:c r="L56" s="10" t="str">
        <x:v>否</x:v>
      </x:c>
      <x:c r="M56" s="10" t="str">
        <x:v>安装配方已包含，未实测</x:v>
      </x:c>
      <x:c r="N56" s="10" t="str">
        <x:v>首次引入JRE另估200–350MiB</x:v>
      </x:c>
      <x:c r="O56" s="10" t="str">
        <x:v>hexstrike_mcp.py:3498</x:v>
      </x:c>
      <x:c r="P56" s="10" t="str">
        <x:v>SRC-MCP / SRC-SERVER / SRC-KALI / EST</x:v>
      </x:c>
    </x:row>
    <x:row r="57" ht="64" customHeight="1">
      <x:c r="A57" s="11" t="n">
        <x:v>49</x:v>
      </x:c>
      <x:c r="B57" s="9" t="str">
        <x:v>Wfuzz</x:v>
      </x:c>
      <x:c r="C57" s="10" t="str">
        <x:v>Web安全</x:v>
      </x:c>
      <x:c r="D57" s="10" t="str">
        <x:v>HTTP请求模糊测试</x:v>
      </x:c>
      <x:c r="E57" s="10" t="str">
        <x:v>已注册专用MCP</x:v>
      </x:c>
      <x:c r="F57" s="10" t="str">
        <x:v>wfuzz_scan</x:v>
      </x:c>
      <x:c r="G57" s="14" t="n">
        <x:v>10</x:v>
      </x:c>
      <x:c r="H57" s="14" t="n">
        <x:v>60</x:v>
      </x:c>
      <x:c r="I57" s="10" t="str">
        <x:v>wfuzz</x:v>
      </x:c>
      <x:c r="J57" s="13" t="n">
        <x:v>1.55</x:v>
      </x:c>
      <x:c r="K57" s="10" t="str">
        <x:v>核心镜像</x:v>
      </x:c>
      <x:c r="L57" s="10" t="str">
        <x:v>否</x:v>
      </x:c>
      <x:c r="M57" s="10" t="str">
        <x:v>安装配方已包含，未实测</x:v>
      </x:c>
      <x:c r="N57" s="10" t="str">
        <x:v>libcurl等共享依赖</x:v>
      </x:c>
      <x:c r="O57" s="10" t="str">
        <x:v>hexstrike_mcp.py:2345</x:v>
      </x:c>
      <x:c r="P57" s="10" t="str">
        <x:v>SRC-MCP / SRC-SERVER / SRC-KALI / EST</x:v>
      </x:c>
    </x:row>
    <x:row r="58" ht="64" customHeight="1">
      <x:c r="A58" s="11" t="n">
        <x:v>50</x:v>
      </x:c>
      <x:c r="B58" s="9" t="str">
        <x:v>Commix</x:v>
      </x:c>
      <x:c r="C58" s="10" t="str">
        <x:v>Web安全</x:v>
      </x:c>
      <x:c r="D58" s="10" t="str">
        <x:v>命令注入检测和验证</x:v>
      </x:c>
      <x:c r="E58" s="10" t="str">
        <x:v>仅README列举</x:v>
      </x:c>
      <x:c r="F58" s="10" t="str">
        <x:v>无专用MCP</x:v>
      </x:c>
      <x:c r="G58" s="14" t="n">
        <x:v>3</x:v>
      </x:c>
      <x:c r="H58" s="14" t="n">
        <x:v>30</x:v>
      </x:c>
      <x:c r="I58" s="10" t="str">
        <x:v>commix</x:v>
      </x:c>
      <x:c r="J58" s="13" t="n">
        <x:v>1.11</x:v>
      </x:c>
      <x:c r="K58" s="10" t="str">
        <x:v>先封装再纳入</x:v>
      </x:c>
      <x:c r="L58" s="10" t="str">
        <x:v>否</x:v>
      </x:c>
      <x:c r="M58" s="10" t="str">
        <x:v>未显式安装</x:v>
      </x:c>
      <x:c r="N58" s="10" t="str">
        <x:v>无专用接口或明确调用实现</x:v>
      </x:c>
      <x:c r="O58" s="10" t="str">
        <x:v>README.md:Security Tools Arsenal</x:v>
      </x:c>
      <x:c r="P58" s="10" t="str">
        <x:v>SRC-MCP / SRC-SERVER / SRC-KALI / EST</x:v>
      </x:c>
    </x:row>
    <x:row r="59" ht="64" customHeight="1">
      <x:c r="A59" s="11" t="n">
        <x:v>51</x:v>
      </x:c>
      <x:c r="B59" s="9" t="str">
        <x:v>NoSQLMap</x:v>
      </x:c>
      <x:c r="C59" s="10" t="str">
        <x:v>Web安全</x:v>
      </x:c>
      <x:c r="D59" s="10" t="str">
        <x:v>NoSQL注入和配置风险测试</x:v>
      </x:c>
      <x:c r="E59" s="10" t="str">
        <x:v>仅README列举</x:v>
      </x:c>
      <x:c r="F59" s="10" t="str">
        <x:v>无专用MCP</x:v>
      </x:c>
      <x:c r="G59" s="14" t="n">
        <x:v>10</x:v>
      </x:c>
      <x:c r="H59" s="14" t="n">
        <x:v>100</x:v>
      </x:c>
      <x:c r="I59" s="10" t="str">
        <x:v>非Kali主包/在线服务/未指定实现</x:v>
      </x:c>
      <x:c r="J59" s="13"/>
      <x:c r="K59" s="10" t="str">
        <x:v>先封装再纳入</x:v>
      </x:c>
      <x:c r="L59" s="10" t="str">
        <x:v>否</x:v>
      </x:c>
      <x:c r="M59" s="10" t="str">
        <x:v>未显式安装</x:v>
      </x:c>
      <x:c r="N59" s="10" t="str">
        <x:v>无专用接口；旧依赖需另核验</x:v>
      </x:c>
      <x:c r="O59" s="10" t="str">
        <x:v>README.md:Security Tools Arsenal</x:v>
      </x:c>
      <x:c r="P59" s="10" t="str">
        <x:v>SRC-MCP / SRC-SERVER / EST</x:v>
      </x:c>
    </x:row>
    <x:row r="60" ht="64" customHeight="1">
      <x:c r="A60" s="11" t="n">
        <x:v>52</x:v>
      </x:c>
      <x:c r="B60" s="9" t="str">
        <x:v>Tplmap</x:v>
      </x:c>
      <x:c r="C60" s="10" t="str">
        <x:v>Web安全</x:v>
      </x:c>
      <x:c r="D60" s="10" t="str">
        <x:v>服务端模板注入测试</x:v>
      </x:c>
      <x:c r="E60" s="10" t="str">
        <x:v>仅README列举</x:v>
      </x:c>
      <x:c r="F60" s="10" t="str">
        <x:v>无专用MCP</x:v>
      </x:c>
      <x:c r="G60" s="14" t="n">
        <x:v>5</x:v>
      </x:c>
      <x:c r="H60" s="14" t="n">
        <x:v>50</x:v>
      </x:c>
      <x:c r="I60" s="10" t="str">
        <x:v>非Kali主包/在线服务/未指定实现</x:v>
      </x:c>
      <x:c r="J60" s="13"/>
      <x:c r="K60" s="10" t="str">
        <x:v>先封装再纳入</x:v>
      </x:c>
      <x:c r="L60" s="10" t="str">
        <x:v>否</x:v>
      </x:c>
      <x:c r="M60" s="10" t="str">
        <x:v>未显式安装</x:v>
      </x:c>
      <x:c r="N60" s="10" t="str">
        <x:v>无专用接口；旧依赖需另核验</x:v>
      </x:c>
      <x:c r="O60" s="10" t="str">
        <x:v>README.md:Security Tools Arsenal</x:v>
      </x:c>
      <x:c r="P60" s="10" t="str">
        <x:v>SRC-MCP / SRC-SERVER / EST</x:v>
      </x:c>
    </x:row>
    <x:row r="61" ht="64" customHeight="1">
      <x:c r="A61" s="11" t="n">
        <x:v>53</x:v>
      </x:c>
      <x:c r="B61" s="9" t="str">
        <x:v>Hydra</x:v>
      </x:c>
      <x:c r="C61" s="10" t="str">
        <x:v>认证密码</x:v>
      </x:c>
      <x:c r="D61" s="10" t="str">
        <x:v>多协议登录与弱密码测试</x:v>
      </x:c>
      <x:c r="E61" s="10" t="str">
        <x:v>已注册专用MCP</x:v>
      </x:c>
      <x:c r="F61" s="10" t="str">
        <x:v>hydra_attack</x:v>
      </x:c>
      <x:c r="G61" s="14" t="n">
        <x:v>3</x:v>
      </x:c>
      <x:c r="H61" s="14" t="n">
        <x:v>30</x:v>
      </x:c>
      <x:c r="I61" s="10" t="str">
        <x:v>hydra</x:v>
      </x:c>
      <x:c r="J61" s="13" t="n">
        <x:v>0.96</x:v>
      </x:c>
      <x:c r="K61" s="10" t="str">
        <x:v>可选认证镜像</x:v>
      </x:c>
      <x:c r="L61" s="10" t="str">
        <x:v>否</x:v>
      </x:c>
      <x:c r="M61" s="10" t="str">
        <x:v>安装配方已包含，未实测</x:v>
      </x:c>
      <x:c r="N61" s="10" t="str">
        <x:v>字典另计</x:v>
      </x:c>
      <x:c r="O61" s="10" t="str">
        <x:v>hexstrike_mcp.py:1101</x:v>
      </x:c>
      <x:c r="P61" s="10" t="str">
        <x:v>SRC-MCP / SRC-SERVER / SRC-KALI / EST</x:v>
      </x:c>
    </x:row>
    <x:row r="62" ht="64" customHeight="1">
      <x:c r="A62" s="11" t="n">
        <x:v>54</x:v>
      </x:c>
      <x:c r="B62" s="9" t="str">
        <x:v>John the Ripper</x:v>
      </x:c>
      <x:c r="C62" s="10" t="str">
        <x:v>认证密码</x:v>
      </x:c>
      <x:c r="D62" s="10" t="str">
        <x:v>离线密码哈希恢复</x:v>
      </x:c>
      <x:c r="E62" s="10" t="str">
        <x:v>已注册专用MCP</x:v>
      </x:c>
      <x:c r="F62" s="10" t="str">
        <x:v>john_crack</x:v>
      </x:c>
      <x:c r="G62" s="14" t="n">
        <x:v>79</x:v>
      </x:c>
      <x:c r="H62" s="14" t="n">
        <x:v>150</x:v>
      </x:c>
      <x:c r="I62" s="10" t="str">
        <x:v>john</x:v>
      </x:c>
      <x:c r="J62" s="13" t="n">
        <x:v>78.67</x:v>
      </x:c>
      <x:c r="K62" s="10" t="str">
        <x:v>可选认证镜像</x:v>
      </x:c>
      <x:c r="L62" s="10" t="str">
        <x:v>否</x:v>
      </x:c>
      <x:c r="M62" s="10" t="str">
        <x:v>安装配方已包含，未实测</x:v>
      </x:c>
      <x:c r="N62" s="10" t="str">
        <x:v>规则和字典另计</x:v>
      </x:c>
      <x:c r="O62" s="10" t="str">
        <x:v>hexstrike_mcp.py:1143</x:v>
      </x:c>
      <x:c r="P62" s="10" t="str">
        <x:v>SRC-MCP / SRC-SERVER / SRC-KALI / EST</x:v>
      </x:c>
    </x:row>
    <x:row r="63" ht="64" customHeight="1">
      <x:c r="A63" s="11" t="n">
        <x:v>55</x:v>
      </x:c>
      <x:c r="B63" s="9" t="str">
        <x:v>Hashcat</x:v>
      </x:c>
      <x:c r="C63" s="10" t="str">
        <x:v>认证密码</x:v>
      </x:c>
      <x:c r="D63" s="10" t="str">
        <x:v>CPU或GPU密码哈希恢复</x:v>
      </x:c>
      <x:c r="E63" s="10" t="str">
        <x:v>已注册专用MCP</x:v>
      </x:c>
      <x:c r="F63" s="10" t="str">
        <x:v>hashcat_crack</x:v>
      </x:c>
      <x:c r="G63" s="14" t="n">
        <x:v>120</x:v>
      </x:c>
      <x:c r="H63" s="14" t="n">
        <x:v>250</x:v>
      </x:c>
      <x:c r="I63" s="10" t="str">
        <x:v>hashcat</x:v>
      </x:c>
      <x:c r="J63" s="13" t="n">
        <x:v>119.53</x:v>
      </x:c>
      <x:c r="K63" s="10" t="str">
        <x:v>独立GPU镜像</x:v>
      </x:c>
      <x:c r="L63" s="10" t="str">
        <x:v>否</x:v>
      </x:c>
      <x:c r="M63" s="10" t="str">
        <x:v>安装配方已包含，未实测</x:v>
      </x:c>
      <x:c r="N63" s="10" t="str">
        <x:v>CPU OpenCL首次引入另估300–1200MiB；GPU运行时另计</x:v>
      </x:c>
      <x:c r="O63" s="10" t="str">
        <x:v>hexstrike_mcp.py:1314</x:v>
      </x:c>
      <x:c r="P63" s="10" t="str">
        <x:v>SRC-MCP / SRC-SERVER / SRC-KALI / EST</x:v>
      </x:c>
    </x:row>
    <x:row r="64" ht="64" customHeight="1">
      <x:c r="A64" s="11" t="n">
        <x:v>56</x:v>
      </x:c>
      <x:c r="B64" s="9" t="str">
        <x:v>Medusa</x:v>
      </x:c>
      <x:c r="C64" s="10" t="str">
        <x:v>认证密码</x:v>
      </x:c>
      <x:c r="D64" s="10" t="str">
        <x:v>并行网络登录认证测试</x:v>
      </x:c>
      <x:c r="E64" s="10" t="str">
        <x:v>仅健康检查/提及</x:v>
      </x:c>
      <x:c r="F64" s="10" t="str">
        <x:v>无专用MCP</x:v>
      </x:c>
      <x:c r="G64" s="14" t="n">
        <x:v>2</x:v>
      </x:c>
      <x:c r="H64" s="14" t="n">
        <x:v>25</x:v>
      </x:c>
      <x:c r="I64" s="10" t="str">
        <x:v>medusa</x:v>
      </x:c>
      <x:c r="J64" s="13" t="n">
        <x:v>0.82</x:v>
      </x:c>
      <x:c r="K64" s="10" t="str">
        <x:v>先封装再纳入</x:v>
      </x:c>
      <x:c r="L64" s="10" t="str">
        <x:v>否</x:v>
      </x:c>
      <x:c r="M64" s="10" t="str">
        <x:v>未显式安装</x:v>
      </x:c>
      <x:c r="N64" s="10" t="str">
        <x:v>目前仅检查/替代建议</x:v>
      </x:c>
      <x:c r="O64" s="10" t="str">
        <x:v>hexstrike_server.py:9024</x:v>
      </x:c>
      <x:c r="P64" s="10" t="str">
        <x:v>SRC-MCP / SRC-SERVER / SRC-KALI / EST</x:v>
      </x:c>
    </x:row>
    <x:row r="65" ht="64" customHeight="1">
      <x:c r="A65" s="11" t="n">
        <x:v>57</x:v>
      </x:c>
      <x:c r="B65" s="9" t="str">
        <x:v>Patator</x:v>
      </x:c>
      <x:c r="C65" s="10" t="str">
        <x:v>认证密码</x:v>
      </x:c>
      <x:c r="D65" s="10" t="str">
        <x:v>模块化认证测试</x:v>
      </x:c>
      <x:c r="E65" s="10" t="str">
        <x:v>仅健康检查/提及</x:v>
      </x:c>
      <x:c r="F65" s="10" t="str">
        <x:v>无专用MCP</x:v>
      </x:c>
      <x:c r="G65" s="14" t="n">
        <x:v>5</x:v>
      </x:c>
      <x:c r="H65" s="14" t="n">
        <x:v>80</x:v>
      </x:c>
      <x:c r="I65" s="10" t="str">
        <x:v>patator</x:v>
      </x:c>
      <x:c r="J65" s="13" t="n">
        <x:v>0.18</x:v>
      </x:c>
      <x:c r="K65" s="10" t="str">
        <x:v>先封装再纳入</x:v>
      </x:c>
      <x:c r="L65" s="10" t="str">
        <x:v>否</x:v>
      </x:c>
      <x:c r="M65" s="10" t="str">
        <x:v>未显式安装</x:v>
      </x:c>
      <x:c r="N65" s="10" t="str">
        <x:v>目前仅检查/替代建议</x:v>
      </x:c>
      <x:c r="O65" s="10" t="str">
        <x:v>hexstrike_server.py:9024</x:v>
      </x:c>
      <x:c r="P65" s="10" t="str">
        <x:v>SRC-MCP / SRC-SERVER / SRC-KALI / EST</x:v>
      </x:c>
    </x:row>
    <x:row r="66" ht="64" customHeight="1">
      <x:c r="A66" s="11" t="n">
        <x:v>58</x:v>
      </x:c>
      <x:c r="B66" s="9" t="str">
        <x:v>Evil-WinRM</x:v>
      </x:c>
      <x:c r="C66" s="10" t="str">
        <x:v>认证远程管理</x:v>
      </x:c>
      <x:c r="D66" s="10" t="str">
        <x:v>使用凭据进行Windows远程管理</x:v>
      </x:c>
      <x:c r="E66" s="10" t="str">
        <x:v>仅健康检查/提及</x:v>
      </x:c>
      <x:c r="F66" s="10" t="str">
        <x:v>无专用MCP</x:v>
      </x:c>
      <x:c r="G66" s="14" t="n">
        <x:v>10</x:v>
      </x:c>
      <x:c r="H66" s="14" t="n">
        <x:v>80</x:v>
      </x:c>
      <x:c r="I66" s="10" t="str">
        <x:v>非Kali主包/在线服务/未指定实现</x:v>
      </x:c>
      <x:c r="J66" s="13"/>
      <x:c r="K66" s="10" t="str">
        <x:v>先封装再纳入</x:v>
      </x:c>
      <x:c r="L66" s="10" t="str">
        <x:v>否</x:v>
      </x:c>
      <x:c r="M66" s="10" t="str">
        <x:v>未显式安装</x:v>
      </x:c>
      <x:c r="N66" s="10" t="str">
        <x:v>仅健康检查；Ruby首次引入另计</x:v>
      </x:c>
      <x:c r="O66" s="10" t="str">
        <x:v>hexstrike_server.py:9024</x:v>
      </x:c>
      <x:c r="P66" s="10" t="str">
        <x:v>SRC-MCP / SRC-SERVER / EST</x:v>
      </x:c>
    </x:row>
    <x:row r="67" ht="64" customHeight="1">
      <x:c r="A67" s="11" t="n">
        <x:v>59</x:v>
      </x:c>
      <x:c r="B67" s="9" t="str">
        <x:v>Hash-Identifier</x:v>
      </x:c>
      <x:c r="C67" s="10" t="str">
        <x:v>认证密码</x:v>
      </x:c>
      <x:c r="D67" s="10" t="str">
        <x:v>推测哈希算法类型</x:v>
      </x:c>
      <x:c r="E67" s="10" t="str">
        <x:v>仅后端命令映射</x:v>
      </x:c>
      <x:c r="F67" s="10" t="str">
        <x:v>无专用MCP</x:v>
      </x:c>
      <x:c r="G67" s="14" t="n">
        <x:v>1</x:v>
      </x:c>
      <x:c r="H67" s="14" t="n">
        <x:v>10</x:v>
      </x:c>
      <x:c r="I67" s="10" t="str">
        <x:v>hash-identifier</x:v>
      </x:c>
      <x:c r="J67" s="13" t="n">
        <x:v>0.05</x:v>
      </x:c>
      <x:c r="K67" s="10" t="str">
        <x:v>先封装再纳入</x:v>
      </x:c>
      <x:c r="L67" s="10" t="str">
        <x:v>否</x:v>
      </x:c>
      <x:c r="M67" s="10" t="str">
        <x:v>未显式安装</x:v>
      </x:c>
      <x:c r="N67" s="10" t="str">
        <x:v>仅后端命令映射/检查；CTF自动步骤主要输出命令/模拟成功，不应算已执行集成</x:v>
      </x:c>
      <x:c r="O67" s="10" t="str">
        <x:v>hexstrike_server.py:3514</x:v>
      </x:c>
      <x:c r="P67" s="10" t="str">
        <x:v>SRC-MCP / SRC-SERVER / SRC-KALI / EST</x:v>
      </x:c>
    </x:row>
    <x:row r="68" ht="64" customHeight="1">
      <x:c r="A68" s="11" t="n">
        <x:v>60</x:v>
      </x:c>
      <x:c r="B68" s="9" t="str">
        <x:v>HashID</x:v>
      </x:c>
      <x:c r="C68" s="10" t="str">
        <x:v>认证密码</x:v>
      </x:c>
      <x:c r="D68" s="10" t="str">
        <x:v>识别可能的哈希类型</x:v>
      </x:c>
      <x:c r="E68" s="10" t="str">
        <x:v>仅后端命令映射</x:v>
      </x:c>
      <x:c r="F68" s="10" t="str">
        <x:v>无专用MCP</x:v>
      </x:c>
      <x:c r="G68" s="14" t="n">
        <x:v>1</x:v>
      </x:c>
      <x:c r="H68" s="14" t="n">
        <x:v>6</x:v>
      </x:c>
      <x:c r="I68" s="10" t="str">
        <x:v>hashid</x:v>
      </x:c>
      <x:c r="J68" s="13" t="n">
        <x:v>0.08</x:v>
      </x:c>
      <x:c r="K68" s="10" t="str">
        <x:v>先封装再纳入</x:v>
      </x:c>
      <x:c r="L68" s="10" t="str">
        <x:v>否</x:v>
      </x:c>
      <x:c r="M68" s="10" t="str">
        <x:v>未显式安装</x:v>
      </x:c>
      <x:c r="N68" s="10" t="str">
        <x:v>仅后端命令映射；CTF自动步骤主要输出命令/模拟成功，不应算已执行集成</x:v>
      </x:c>
      <x:c r="O68" s="10" t="str">
        <x:v>hexstrike_server.py:3515</x:v>
      </x:c>
      <x:c r="P68" s="10" t="str">
        <x:v>SRC-MCP / SRC-SERVER / SRC-KALI / EST</x:v>
      </x:c>
    </x:row>
    <x:row r="69" ht="64" customHeight="1">
      <x:c r="A69" s="11" t="n">
        <x:v>61</x:v>
      </x:c>
      <x:c r="B69" s="9" t="str">
        <x:v>CrackStation</x:v>
      </x:c>
      <x:c r="C69" s="10" t="str">
        <x:v>认证密码</x:v>
      </x:c>
      <x:c r="D69" s="10" t="str">
        <x:v>在线查询部分哈希对应明文</x:v>
      </x:c>
      <x:c r="E69" s="10" t="str">
        <x:v>仅README列举</x:v>
      </x:c>
      <x:c r="F69" s="10" t="str">
        <x:v>无专用MCP</x:v>
      </x:c>
      <x:c r="G69" s="14" t="n">
        <x:v>0</x:v>
      </x:c>
      <x:c r="H69" s="14" t="n">
        <x:v>0</x:v>
      </x:c>
      <x:c r="I69" s="10" t="str">
        <x:v>非Kali主包/在线服务/未指定实现</x:v>
      </x:c>
      <x:c r="J69" s="13"/>
      <x:c r="K69" s="10" t="str">
        <x:v>在线接入</x:v>
      </x:c>
      <x:c r="L69" s="10" t="str">
        <x:v>否</x:v>
      </x:c>
      <x:c r="M69" s="10" t="str">
        <x:v>未显式安装</x:v>
      </x:c>
      <x:c r="N69" s="10" t="str">
        <x:v>0表示无需部署服务端；未发现专用API接入</x:v>
      </x:c>
      <x:c r="O69" s="10" t="str">
        <x:v>README.md:Security Tools Arsenal</x:v>
      </x:c>
      <x:c r="P69" s="10" t="str">
        <x:v>SRC-MCP / SRC-SERVER / EST</x:v>
      </x:c>
    </x:row>
    <x:row r="70" ht="64" customHeight="1">
      <x:c r="A70" s="11" t="n">
        <x:v>62</x:v>
      </x:c>
      <x:c r="B70" s="9" t="str">
        <x:v>Ophcrack</x:v>
      </x:c>
      <x:c r="C70" s="10" t="str">
        <x:v>认证密码</x:v>
      </x:c>
      <x:c r="D70" s="10" t="str">
        <x:v>使用彩虹表恢复Windows密码</x:v>
      </x:c>
      <x:c r="E70" s="10" t="str">
        <x:v>仅健康检查/提及</x:v>
      </x:c>
      <x:c r="F70" s="10" t="str">
        <x:v>无专用MCP</x:v>
      </x:c>
      <x:c r="G70" s="14" t="n">
        <x:v>10</x:v>
      </x:c>
      <x:c r="H70" s="14" t="n">
        <x:v>100</x:v>
      </x:c>
      <x:c r="I70" s="10" t="str">
        <x:v>ophcrack</x:v>
      </x:c>
      <x:c r="J70" s="13" t="n">
        <x:v>0.49</x:v>
      </x:c>
      <x:c r="K70" s="10" t="str">
        <x:v>先封装再纳入</x:v>
      </x:c>
      <x:c r="L70" s="10" t="str">
        <x:v>否</x:v>
      </x:c>
      <x:c r="M70" s="10" t="str">
        <x:v>未显式安装</x:v>
      </x:c>
      <x:c r="N70" s="10" t="str">
        <x:v>目前仅检查/替代建议；彩虹表可达GiB级另计</x:v>
      </x:c>
      <x:c r="O70" s="10" t="str">
        <x:v>hexstrike_server.py:9024</x:v>
      </x:c>
      <x:c r="P70" s="10" t="str">
        <x:v>SRC-MCP / SRC-SERVER / SRC-KALI / EST</x:v>
      </x:c>
    </x:row>
    <x:row r="71" ht="64" customHeight="1">
      <x:c r="A71" s="11" t="n">
        <x:v>63</x:v>
      </x:c>
      <x:c r="B71" s="9" t="str">
        <x:v>GDB</x:v>
      </x:c>
      <x:c r="C71" s="10" t="str">
        <x:v>二进制逆向</x:v>
      </x:c>
      <x:c r="D71" s="10" t="str">
        <x:v>调试程序执行、寄存器和内存</x:v>
      </x:c>
      <x:c r="E71" s="10" t="str">
        <x:v>已注册专用MCP</x:v>
      </x:c>
      <x:c r="F71" s="10" t="str">
        <x:v>gdb_analyze</x:v>
      </x:c>
      <x:c r="G71" s="14" t="n">
        <x:v>30</x:v>
      </x:c>
      <x:c r="H71" s="14" t="n">
        <x:v>120</x:v>
      </x:c>
      <x:c r="I71" s="10" t="str">
        <x:v>gdb</x:v>
      </x:c>
      <x:c r="J71" s="13" t="n">
        <x:v>12.16</x:v>
      </x:c>
      <x:c r="K71" s="10" t="str">
        <x:v>可选二进制镜像</x:v>
      </x:c>
      <x:c r="L71" s="10" t="str">
        <x:v>否</x:v>
      </x:c>
      <x:c r="M71" s="10" t="str">
        <x:v>安装配方已包含，未实测</x:v>
      </x:c>
      <x:c r="N71" s="10" t="str">
        <x:v>attach权限另配</x:v>
      </x:c>
      <x:c r="O71" s="10" t="str">
        <x:v>hexstrike_mcp.py:1800</x:v>
      </x:c>
      <x:c r="P71" s="10" t="str">
        <x:v>SRC-MCP / SRC-SERVER / SRC-KALI / EST</x:v>
      </x:c>
    </x:row>
    <x:row r="72" ht="64" customHeight="1">
      <x:c r="A72" s="11" t="n">
        <x:v>64</x:v>
      </x:c>
      <x:c r="B72" s="9" t="str">
        <x:v>GDB-PEDA</x:v>
      </x:c>
      <x:c r="C72" s="10" t="str">
        <x:v>二进制逆向</x:v>
      </x:c>
      <x:c r="D72" s="10" t="str">
        <x:v>GDB调试增强插件</x:v>
      </x:c>
      <x:c r="E72" s="10" t="str">
        <x:v>已注册专用MCP</x:v>
      </x:c>
      <x:c r="F72" s="10" t="str">
        <x:v>gdb_peda_debug</x:v>
      </x:c>
      <x:c r="G72" s="14" t="n">
        <x:v>1</x:v>
      </x:c>
      <x:c r="H72" s="14" t="n">
        <x:v>10</x:v>
      </x:c>
      <x:c r="I72" s="10" t="str">
        <x:v>非Kali主包/在线服务/未指定实现</x:v>
      </x:c>
      <x:c r="J72" s="13"/>
      <x:c r="K72" s="10" t="str">
        <x:v>可选二进制镜像</x:v>
      </x:c>
      <x:c r="L72" s="10" t="str">
        <x:v>否</x:v>
      </x:c>
      <x:c r="M72" s="10" t="str">
        <x:v>安装配方已包含，未实测</x:v>
      </x:c>
      <x:c r="N72" s="10" t="str">
        <x:v>不重复计GDB；专用接口与CTF映射使用不同路径</x:v>
      </x:c>
      <x:c r="O72" s="10" t="str">
        <x:v>hexstrike_mcp.py:2135</x:v>
      </x:c>
      <x:c r="P72" s="10" t="str">
        <x:v>SRC-MCP / SRC-SERVER / EST</x:v>
      </x:c>
    </x:row>
    <x:row r="73" ht="64" customHeight="1">
      <x:c r="A73" s="11" t="n">
        <x:v>65</x:v>
      </x:c>
      <x:c r="B73" s="9" t="str">
        <x:v>GDB-GEF</x:v>
      </x:c>
      <x:c r="C73" s="10" t="str">
        <x:v>二进制逆向</x:v>
      </x:c>
      <x:c r="D73" s="10" t="str">
        <x:v>GDB增强命令和安全分析</x:v>
      </x:c>
      <x:c r="E73" s="10" t="str">
        <x:v>仅后端命令映射</x:v>
      </x:c>
      <x:c r="F73" s="10" t="str">
        <x:v>无专用MCP</x:v>
      </x:c>
      <x:c r="G73" s="14" t="n">
        <x:v>1</x:v>
      </x:c>
      <x:c r="H73" s="14" t="n">
        <x:v>15</x:v>
      </x:c>
      <x:c r="I73" s="10" t="str">
        <x:v>非Kali主包/在线服务/未指定实现</x:v>
      </x:c>
      <x:c r="J73" s="13"/>
      <x:c r="K73" s="10" t="str">
        <x:v>先封装再纳入</x:v>
      </x:c>
      <x:c r="L73" s="10" t="str">
        <x:v>否</x:v>
      </x:c>
      <x:c r="M73" s="10" t="str">
        <x:v>未显式安装</x:v>
      </x:c>
      <x:c r="N73" s="10" t="str">
        <x:v>不重复计GDB；目前仅CTF命令映射；CTF自动步骤主要输出命令/模拟成功，不应算已执行集成</x:v>
      </x:c>
      <x:c r="O73" s="10" t="str">
        <x:v>hexstrike_server.py:3539</x:v>
      </x:c>
      <x:c r="P73" s="10" t="str">
        <x:v>SRC-MCP / SRC-SERVER / EST</x:v>
      </x:c>
    </x:row>
    <x:row r="74" ht="64" customHeight="1">
      <x:c r="A74" s="11" t="n">
        <x:v>66</x:v>
      </x:c>
      <x:c r="B74" s="9" t="str">
        <x:v>Radare2</x:v>
      </x:c>
      <x:c r="C74" s="10" t="str">
        <x:v>二进制逆向</x:v>
      </x:c>
      <x:c r="D74" s="10" t="str">
        <x:v>反汇编、分析和调试</x:v>
      </x:c>
      <x:c r="E74" s="10" t="str">
        <x:v>已注册专用MCP</x:v>
      </x:c>
      <x:c r="F74" s="10" t="str">
        <x:v>radare2_analyze</x:v>
      </x:c>
      <x:c r="G74" s="14" t="n">
        <x:v>10</x:v>
      </x:c>
      <x:c r="H74" s="14" t="n">
        <x:v>80</x:v>
      </x:c>
      <x:c r="I74" s="10" t="str">
        <x:v>radare2</x:v>
      </x:c>
      <x:c r="J74" s="13" t="n">
        <x:v>3.59</x:v>
      </x:c>
      <x:c r="K74" s="10" t="str">
        <x:v>可选二进制镜像</x:v>
      </x:c>
      <x:c r="L74" s="10" t="str">
        <x:v>否</x:v>
      </x:c>
      <x:c r="M74" s="10" t="str">
        <x:v>安装配方已包含，未实测</x:v>
      </x:c>
      <x:c r="N74" s="10" t="str">
        <x:v>主体包大小不包含所有radare库</x:v>
      </x:c>
      <x:c r="O74" s="10" t="str">
        <x:v>hexstrike_mcp.py:1828</x:v>
      </x:c>
      <x:c r="P74" s="10" t="str">
        <x:v>SRC-MCP / SRC-SERVER / SRC-KALI / EST</x:v>
      </x:c>
    </x:row>
    <x:row r="75" ht="64" customHeight="1">
      <x:c r="A75" s="11" t="n">
        <x:v>67</x:v>
      </x:c>
      <x:c r="B75" s="9" t="str">
        <x:v>Ghidra</x:v>
      </x:c>
      <x:c r="C75" s="10" t="str">
        <x:v>二进制逆向</x:v>
      </x:c>
      <x:c r="D75" s="10" t="str">
        <x:v>反编译和自动二进制分析</x:v>
      </x:c>
      <x:c r="E75" s="10" t="str">
        <x:v>已注册专用MCP</x:v>
      </x:c>
      <x:c r="F75" s="10" t="str">
        <x:v>ghidra_analysis</x:v>
      </x:c>
      <x:c r="G75" s="14" t="n">
        <x:v>830</x:v>
      </x:c>
      <x:c r="H75" s="14" t="n">
        <x:v>1300</x:v>
      </x:c>
      <x:c r="I75" s="10" t="str">
        <x:v>ghidra</x:v>
      </x:c>
      <x:c r="J75" s="13" t="n">
        <x:v>823.79</x:v>
      </x:c>
      <x:c r="K75" s="10" t="str">
        <x:v>可选二进制镜像</x:v>
      </x:c>
      <x:c r="L75" s="10" t="str">
        <x:v>否</x:v>
      </x:c>
      <x:c r="M75" s="10" t="str">
        <x:v>安装配方已包含，未实测</x:v>
      </x:c>
      <x:c r="N75" s="10" t="str">
        <x:v>首次引入JRE另估200–350MiB</x:v>
      </x:c>
      <x:c r="O75" s="10" t="str">
        <x:v>hexstrike_mcp.py:2012</x:v>
      </x:c>
      <x:c r="P75" s="10" t="str">
        <x:v>SRC-MCP / SRC-SERVER / SRC-KALI / EST</x:v>
      </x:c>
    </x:row>
    <x:row r="76" ht="64" customHeight="1">
      <x:c r="A76" s="11" t="n">
        <x:v>68</x:v>
      </x:c>
      <x:c r="B76" s="9" t="str">
        <x:v>IDA Free</x:v>
      </x:c>
      <x:c r="C76" s="10" t="str">
        <x:v>二进制逆向</x:v>
      </x:c>
      <x:c r="D76" s="10" t="str">
        <x:v>交互式反汇编和受限反编译</x:v>
      </x:c>
      <x:c r="E76" s="10" t="str">
        <x:v>仅后端命令映射</x:v>
      </x:c>
      <x:c r="F76" s="10" t="str">
        <x:v>无专用MCP</x:v>
      </x:c>
      <x:c r="G76" s="14" t="n">
        <x:v>500</x:v>
      </x:c>
      <x:c r="H76" s="14" t="n">
        <x:v>1500</x:v>
      </x:c>
      <x:c r="I76" s="10" t="str">
        <x:v>非Kali主包/在线服务/未指定实现</x:v>
      </x:c>
      <x:c r="J76" s="13"/>
      <x:c r="K76" s="10" t="str">
        <x:v>暂不纳入</x:v>
      </x:c>
      <x:c r="L76" s="10" t="str">
        <x:v>否</x:v>
      </x:c>
      <x:c r="M76" s="10" t="str">
        <x:v>未显式安装</x:v>
      </x:c>
      <x:c r="N76" s="10" t="str">
        <x:v>商业发行/许可证与架构需确认；仅命令映射；CTF自动步骤主要输出命令/模拟成功，不应算已执行集成</x:v>
      </x:c>
      <x:c r="O76" s="10" t="str">
        <x:v>hexstrike_server.py:3583</x:v>
      </x:c>
      <x:c r="P76" s="10" t="str">
        <x:v>SRC-MCP / SRC-SERVER / EST</x:v>
      </x:c>
    </x:row>
    <x:row r="77" ht="64" customHeight="1">
      <x:c r="A77" s="11" t="n">
        <x:v>69</x:v>
      </x:c>
      <x:c r="B77" s="9" t="str">
        <x:v>Binary Ninja</x:v>
      </x:c>
      <x:c r="C77" s="10" t="str">
        <x:v>二进制逆向</x:v>
      </x:c>
      <x:c r="D77" s="10" t="str">
        <x:v>反编译和程序分析平台</x:v>
      </x:c>
      <x:c r="E77" s="10" t="str">
        <x:v>仅后端命令映射</x:v>
      </x:c>
      <x:c r="F77" s="10" t="str">
        <x:v>无专用MCP</x:v>
      </x:c>
      <x:c r="G77" s="14" t="n">
        <x:v>500</x:v>
      </x:c>
      <x:c r="H77" s="14" t="n">
        <x:v>1500</x:v>
      </x:c>
      <x:c r="I77" s="10" t="str">
        <x:v>非Kali主包/在线服务/未指定实现</x:v>
      </x:c>
      <x:c r="J77" s="13"/>
      <x:c r="K77" s="10" t="str">
        <x:v>暂不纳入</x:v>
      </x:c>
      <x:c r="L77" s="10" t="str">
        <x:v>否</x:v>
      </x:c>
      <x:c r="M77" s="10" t="str">
        <x:v>未显式安装</x:v>
      </x:c>
      <x:c r="N77" s="10" t="str">
        <x:v>版本和授权影响部署；仅映射/替代建议；CTF自动步骤主要输出命令/模拟成功，不应算已执行集成</x:v>
      </x:c>
      <x:c r="O77" s="10" t="str">
        <x:v>hexstrike_server.py:3544</x:v>
      </x:c>
      <x:c r="P77" s="10" t="str">
        <x:v>SRC-MCP / SRC-SERVER / EST</x:v>
      </x:c>
    </x:row>
    <x:row r="78" ht="64" customHeight="1">
      <x:c r="A78" s="11" t="n">
        <x:v>70</x:v>
      </x:c>
      <x:c r="B78" s="9" t="str">
        <x:v>Binwalk</x:v>
      </x:c>
      <x:c r="C78" s="10" t="str">
        <x:v>二进制逆向</x:v>
      </x:c>
      <x:c r="D78" s="10" t="str">
        <x:v>固件嵌入文件识别和提取</x:v>
      </x:c>
      <x:c r="E78" s="10" t="str">
        <x:v>已注册专用MCP</x:v>
      </x:c>
      <x:c r="F78" s="10" t="str">
        <x:v>binwalk_analyze</x:v>
      </x:c>
      <x:c r="G78" s="14" t="n">
        <x:v>20</x:v>
      </x:c>
      <x:c r="H78" s="14" t="n">
        <x:v>250</x:v>
      </x:c>
      <x:c r="I78" s="10" t="str">
        <x:v>binwalk</x:v>
      </x:c>
      <x:c r="J78" s="13" t="n">
        <x:v>0.02</x:v>
      </x:c>
      <x:c r="K78" s="10" t="str">
        <x:v>可选二进制镜像</x:v>
      </x:c>
      <x:c r="L78" s="10" t="str">
        <x:v>否</x:v>
      </x:c>
      <x:c r="M78" s="10" t="str">
        <x:v>安装配方已包含，未实测</x:v>
      </x:c>
      <x:c r="N78" s="10" t="str">
        <x:v>解压助手按格式选择；小元包不代表真实体积</x:v>
      </x:c>
      <x:c r="O78" s="10" t="str">
        <x:v>hexstrike_mcp.py:1854</x:v>
      </x:c>
      <x:c r="P78" s="10" t="str">
        <x:v>SRC-MCP / SRC-SERVER / SRC-KALI / EST</x:v>
      </x:c>
    </x:row>
    <x:row r="79" ht="64" customHeight="1">
      <x:c r="A79" s="11" t="n">
        <x:v>71</x:v>
      </x:c>
      <x:c r="B79" s="9" t="str">
        <x:v>ROPgadget</x:v>
      </x:c>
      <x:c r="C79" s="10" t="str">
        <x:v>二进制逆向</x:v>
      </x:c>
      <x:c r="D79" s="10" t="str">
        <x:v>搜索ROP/JOP指令片段</x:v>
      </x:c>
      <x:c r="E79" s="10" t="str">
        <x:v>已注册专用MCP</x:v>
      </x:c>
      <x:c r="F79" s="10" t="str">
        <x:v>ropgadget_search</x:v>
      </x:c>
      <x:c r="G79" s="14" t="n">
        <x:v>5</x:v>
      </x:c>
      <x:c r="H79" s="14" t="n">
        <x:v>30</x:v>
      </x:c>
      <x:c r="I79" s="10" t="str">
        <x:v>python3-ropgadget</x:v>
      </x:c>
      <x:c r="J79" s="13" t="n">
        <x:v>0.17</x:v>
      </x:c>
      <x:c r="K79" s="10" t="str">
        <x:v>可选二进制镜像</x:v>
      </x:c>
      <x:c r="L79" s="10" t="str">
        <x:v>否</x:v>
      </x:c>
      <x:c r="M79" s="10" t="str">
        <x:v>安装配方已包含，未实测</x:v>
      </x:c>
      <x:c r="N79" s="10" t="str">
        <x:v>Capstone等依赖共享</x:v>
      </x:c>
      <x:c r="O79" s="10" t="str">
        <x:v>hexstrike_mcp.py:1880</x:v>
      </x:c>
      <x:c r="P79" s="10" t="str">
        <x:v>SRC-MCP / SRC-SERVER / SRC-KALI / EST</x:v>
      </x:c>
    </x:row>
    <x:row r="80" ht="64" customHeight="1">
      <x:c r="A80" s="11" t="n">
        <x:v>72</x:v>
      </x:c>
      <x:c r="B80" s="9" t="str">
        <x:v>Ropper</x:v>
      </x:c>
      <x:c r="C80" s="10" t="str">
        <x:v>二进制逆向</x:v>
      </x:c>
      <x:c r="D80" s="10" t="str">
        <x:v>筛选指令片段辅助二进制分析</x:v>
      </x:c>
      <x:c r="E80" s="10" t="str">
        <x:v>已注册专用MCP</x:v>
      </x:c>
      <x:c r="F80" s="10" t="str">
        <x:v>ropper_gadget_search</x:v>
      </x:c>
      <x:c r="G80" s="14" t="n">
        <x:v>5</x:v>
      </x:c>
      <x:c r="H80" s="14" t="n">
        <x:v>35</x:v>
      </x:c>
      <x:c r="I80" s="10" t="str">
        <x:v>ropper</x:v>
      </x:c>
      <x:c r="J80" s="13" t="n">
        <x:v>0.44</x:v>
      </x:c>
      <x:c r="K80" s="10" t="str">
        <x:v>可选二进制镜像</x:v>
      </x:c>
      <x:c r="L80" s="10" t="str">
        <x:v>否</x:v>
      </x:c>
      <x:c r="M80" s="10" t="str">
        <x:v>安装配方已包含，未实测</x:v>
      </x:c>
      <x:c r="N80" s="10" t="str">
        <x:v>Capstone等依赖共享</x:v>
      </x:c>
      <x:c r="O80" s="10" t="str">
        <x:v>hexstrike_mcp.py:2200</x:v>
      </x:c>
      <x:c r="P80" s="10" t="str">
        <x:v>SRC-MCP / SRC-SERVER / SRC-KALI / EST</x:v>
      </x:c>
    </x:row>
    <x:row r="81" ht="64" customHeight="1">
      <x:c r="A81" s="11" t="n">
        <x:v>73</x:v>
      </x:c>
      <x:c r="B81" s="9" t="str">
        <x:v>One-Gadget</x:v>
      </x:c>
      <x:c r="C81" s="10" t="str">
        <x:v>二进制逆向</x:v>
      </x:c>
      <x:c r="D81" s="10" t="str">
        <x:v>搜索libc中特殊执行片段</x:v>
      </x:c>
      <x:c r="E81" s="10" t="str">
        <x:v>已注册专用MCP</x:v>
      </x:c>
      <x:c r="F81" s="10" t="str">
        <x:v>one_gadget_search</x:v>
      </x:c>
      <x:c r="G81" s="14" t="n">
        <x:v>2</x:v>
      </x:c>
      <x:c r="H81" s="14" t="n">
        <x:v>15</x:v>
      </x:c>
      <x:c r="I81" s="10" t="str">
        <x:v>非Kali主包/在线服务/未指定实现</x:v>
      </x:c>
      <x:c r="J81" s="13"/>
      <x:c r="K81" s="10" t="str">
        <x:v>可选二进制镜像</x:v>
      </x:c>
      <x:c r="L81" s="10" t="str">
        <x:v>否</x:v>
      </x:c>
      <x:c r="M81" s="10" t="str">
        <x:v>安装配方已包含，未实测</x:v>
      </x:c>
      <x:c r="N81" s="10" t="str">
        <x:v>Ruby运行时共享</x:v>
      </x:c>
      <x:c r="O81" s="10" t="str">
        <x:v>hexstrike_mcp.py:2080</x:v>
      </x:c>
      <x:c r="P81" s="10" t="str">
        <x:v>SRC-MCP / SRC-SERVER / EST</x:v>
      </x:c>
    </x:row>
    <x:row r="82" ht="64" customHeight="1">
      <x:c r="A82" s="11" t="n">
        <x:v>74</x:v>
      </x:c>
      <x:c r="B82" s="9" t="str">
        <x:v>Checksec</x:v>
      </x:c>
      <x:c r="C82" s="10" t="str">
        <x:v>二进制逆向</x:v>
      </x:c>
      <x:c r="D82" s="10" t="str">
        <x:v>检查NX、PIE、Canary等保护</x:v>
      </x:c>
      <x:c r="E82" s="10" t="str">
        <x:v>已注册专用MCP</x:v>
      </x:c>
      <x:c r="F82" s="10" t="str">
        <x:v>checksec_analyze</x:v>
      </x:c>
      <x:c r="G82" s="14" t="n">
        <x:v>1</x:v>
      </x:c>
      <x:c r="H82" s="14" t="n">
        <x:v>10</x:v>
      </x:c>
      <x:c r="I82" s="10" t="str">
        <x:v>checksec</x:v>
      </x:c>
      <x:c r="J82" s="13" t="n">
        <x:v>0.09</x:v>
      </x:c>
      <x:c r="K82" s="10" t="str">
        <x:v>可选二进制镜像</x:v>
      </x:c>
      <x:c r="L82" s="10" t="str">
        <x:v>否</x:v>
      </x:c>
      <x:c r="M82" s="10" t="str">
        <x:v>安装配方已包含，未实测</x:v>
      </x:c>
      <x:c r="N82" s="10" t="str">
        <x:v>轻量检查脚本</x:v>
      </x:c>
      <x:c r="O82" s="10" t="str">
        <x:v>hexstrike_mcp.py:1906</x:v>
      </x:c>
      <x:c r="P82" s="10" t="str">
        <x:v>SRC-MCP / SRC-SERVER / SRC-KALI / EST</x:v>
      </x:c>
    </x:row>
    <x:row r="83" ht="64" customHeight="1">
      <x:c r="A83" s="11" t="n">
        <x:v>75</x:v>
      </x:c>
      <x:c r="B83" s="9" t="str">
        <x:v>Strings</x:v>
      </x:c>
      <x:c r="C83" s="10" t="str">
        <x:v>二进制逆向</x:v>
      </x:c>
      <x:c r="D83" s="10" t="str">
        <x:v>从二进制提取可打印字符串</x:v>
      </x:c>
      <x:c r="E83" s="10" t="str">
        <x:v>已注册专用MCP</x:v>
      </x:c>
      <x:c r="F83" s="10" t="str">
        <x:v>strings_extract</x:v>
      </x:c>
      <x:c r="G83" s="14" t="n">
        <x:v>1</x:v>
      </x:c>
      <x:c r="H83" s="14" t="n">
        <x:v>10</x:v>
      </x:c>
      <x:c r="I83" s="10" t="str">
        <x:v>binutils</x:v>
      </x:c>
      <x:c r="J83" s="13" t="n">
        <x:v>1.1</x:v>
      </x:c>
      <x:c r="K83" s="10" t="str">
        <x:v>共享基础工具</x:v>
      </x:c>
      <x:c r="L83" s="10" t="str">
        <x:v>否</x:v>
      </x:c>
      <x:c r="M83" s="10" t="str">
        <x:v>安装配方已包含，未实测</x:v>
      </x:c>
      <x:c r="N83" s="10" t="str">
        <x:v>与Objdump/Readelf共享binutils，不能逐项累加</x:v>
      </x:c>
      <x:c r="O83" s="10" t="str">
        <x:v>hexstrike_mcp.py:1956</x:v>
      </x:c>
      <x:c r="P83" s="10" t="str">
        <x:v>SRC-MCP / SRC-SERVER / SRC-KALI / EST</x:v>
      </x:c>
    </x:row>
    <x:row r="84" ht="64" customHeight="1">
      <x:c r="A84" s="11" t="n">
        <x:v>76</x:v>
      </x:c>
      <x:c r="B84" s="9" t="str">
        <x:v>Objdump</x:v>
      </x:c>
      <x:c r="C84" s="10" t="str">
        <x:v>二进制逆向</x:v>
      </x:c>
      <x:c r="D84" s="10" t="str">
        <x:v>查看反汇编、段和符号</x:v>
      </x:c>
      <x:c r="E84" s="10" t="str">
        <x:v>已注册专用MCP</x:v>
      </x:c>
      <x:c r="F84" s="10" t="str">
        <x:v>objdump_analyze</x:v>
      </x:c>
      <x:c r="G84" s="14" t="n">
        <x:v>2</x:v>
      </x:c>
      <x:c r="H84" s="14" t="n">
        <x:v>15</x:v>
      </x:c>
      <x:c r="I84" s="10" t="str">
        <x:v>binutils</x:v>
      </x:c>
      <x:c r="J84" s="13" t="n">
        <x:v>1.1</x:v>
      </x:c>
      <x:c r="K84" s="10" t="str">
        <x:v>共享基础工具</x:v>
      </x:c>
      <x:c r="L84" s="10" t="str">
        <x:v>否</x:v>
      </x:c>
      <x:c r="M84" s="10" t="str">
        <x:v>安装配方已包含，未实测</x:v>
      </x:c>
      <x:c r="N84" s="10" t="str">
        <x:v>与其他binutils工具共享成本</x:v>
      </x:c>
      <x:c r="O84" s="10" t="str">
        <x:v>hexstrike_mcp.py:1982</x:v>
      </x:c>
      <x:c r="P84" s="10" t="str">
        <x:v>SRC-MCP / SRC-SERVER / SRC-KALI / EST</x:v>
      </x:c>
    </x:row>
    <x:row r="85" ht="64" customHeight="1">
      <x:c r="A85" s="11" t="n">
        <x:v>77</x:v>
      </x:c>
      <x:c r="B85" s="9" t="str">
        <x:v>Readelf</x:v>
      </x:c>
      <x:c r="C85" s="10" t="str">
        <x:v>二进制逆向</x:v>
      </x:c>
      <x:c r="D85" s="10" t="str">
        <x:v>查看ELF头、符号和链接信息</x:v>
      </x:c>
      <x:c r="E85" s="10" t="str">
        <x:v>仅后端命令映射</x:v>
      </x:c>
      <x:c r="F85" s="10" t="str">
        <x:v>无专用MCP</x:v>
      </x:c>
      <x:c r="G85" s="14" t="n">
        <x:v>1</x:v>
      </x:c>
      <x:c r="H85" s="14" t="n">
        <x:v>10</x:v>
      </x:c>
      <x:c r="I85" s="10" t="str">
        <x:v>binutils</x:v>
      </x:c>
      <x:c r="J85" s="13" t="n">
        <x:v>1.1</x:v>
      </x:c>
      <x:c r="K85" s="10" t="str">
        <x:v>共享基础工具</x:v>
      </x:c>
      <x:c r="L85" s="10" t="str">
        <x:v>否</x:v>
      </x:c>
      <x:c r="M85" s="10" t="str">
        <x:v>由binutils共享提供，未实测</x:v>
      </x:c>
      <x:c r="N85" s="10" t="str">
        <x:v>无专用MCP；随已安装binutils提供；CTF自动步骤主要输出命令/模拟成功，不应算已执行集成</x:v>
      </x:c>
      <x:c r="O85" s="10" t="str">
        <x:v>hexstrike_server.py:3548</x:v>
      </x:c>
      <x:c r="P85" s="10" t="str">
        <x:v>SRC-MCP / SRC-SERVER / SRC-KALI / EST</x:v>
      </x:c>
    </x:row>
    <x:row r="86" ht="64" customHeight="1">
      <x:c r="A86" s="11" t="n">
        <x:v>78</x:v>
      </x:c>
      <x:c r="B86" s="9" t="str">
        <x:v>XXD</x:v>
      </x:c>
      <x:c r="C86" s="10" t="str">
        <x:v>二进制逆向</x:v>
      </x:c>
      <x:c r="D86" s="10" t="str">
        <x:v>十六进制查看和反向还原</x:v>
      </x:c>
      <x:c r="E86" s="10" t="str">
        <x:v>已注册专用MCP</x:v>
      </x:c>
      <x:c r="F86" s="10" t="str">
        <x:v>xxd_hexdump</x:v>
      </x:c>
      <x:c r="G86" s="14" t="n">
        <x:v>1</x:v>
      </x:c>
      <x:c r="H86" s="14" t="n">
        <x:v>6</x:v>
      </x:c>
      <x:c r="I86" s="10" t="str">
        <x:v>xxd</x:v>
      </x:c>
      <x:c r="J86" s="13" t="n">
        <x:v>0.12</x:v>
      </x:c>
      <x:c r="K86" s="10" t="str">
        <x:v>共享基础工具</x:v>
      </x:c>
      <x:c r="L86" s="10" t="str">
        <x:v>否</x:v>
      </x:c>
      <x:c r="M86" s="10" t="str">
        <x:v>安装配方已包含，未实测</x:v>
      </x:c>
      <x:c r="N86" s="10" t="str">
        <x:v>轻量文件工具</x:v>
      </x:c>
      <x:c r="O86" s="10" t="str">
        <x:v>hexstrike_mcp.py:1928</x:v>
      </x:c>
      <x:c r="P86" s="10" t="str">
        <x:v>SRC-MCP / SRC-SERVER / SRC-KALI / EST</x:v>
      </x:c>
    </x:row>
    <x:row r="87" ht="64" customHeight="1">
      <x:c r="A87" s="11" t="n">
        <x:v>79</x:v>
      </x:c>
      <x:c r="B87" s="9" t="str">
        <x:v>Hexdump</x:v>
      </x:c>
      <x:c r="C87" s="10" t="str">
        <x:v>二进制逆向</x:v>
      </x:c>
      <x:c r="D87" s="10" t="str">
        <x:v>按十六进制查看原始数据</x:v>
      </x:c>
      <x:c r="E87" s="10" t="str">
        <x:v>仅后端命令映射</x:v>
      </x:c>
      <x:c r="F87" s="10" t="str">
        <x:v>无专用MCP</x:v>
      </x:c>
      <x:c r="G87" s="14" t="n">
        <x:v>1</x:v>
      </x:c>
      <x:c r="H87" s="14" t="n">
        <x:v>6</x:v>
      </x:c>
      <x:c r="I87" s="10" t="str">
        <x:v>bsdextrautils</x:v>
      </x:c>
      <x:c r="J87" s="13" t="n">
        <x:v>0.37</x:v>
      </x:c>
      <x:c r="K87" s="10" t="str">
        <x:v>共享基础工具</x:v>
      </x:c>
      <x:c r="L87" s="10" t="str">
        <x:v>否</x:v>
      </x:c>
      <x:c r="M87" s="10" t="str">
        <x:v>未显式安装，基础依赖是否提供待实测</x:v>
      </x:c>
      <x:c r="N87" s="10" t="str">
        <x:v>无专用MCP；是否由基础镜像间接提供需实测；CTF自动步骤主要输出命令/模拟成功，不应算已执行集成</x:v>
      </x:c>
      <x:c r="O87" s="10" t="str">
        <x:v>hexstrike_server.py:3553</x:v>
      </x:c>
      <x:c r="P87" s="10" t="str">
        <x:v>SRC-MCP / SRC-SERVER / SRC-KALI / EST</x:v>
      </x:c>
    </x:row>
    <x:row r="88" ht="64" customHeight="1">
      <x:c r="A88" s="11" t="n">
        <x:v>80</x:v>
      </x:c>
      <x:c r="B88" s="9" t="str">
        <x:v>Pwntools</x:v>
      </x:c>
      <x:c r="C88" s="10" t="str">
        <x:v>二进制逆向</x:v>
      </x:c>
      <x:c r="D88" s="10" t="str">
        <x:v>程序交互及二进制分析Python库</x:v>
      </x:c>
      <x:c r="E88" s="10" t="str">
        <x:v>已注册专用MCP</x:v>
      </x:c>
      <x:c r="F88" s="10" t="str">
        <x:v>pwntools_exploit</x:v>
      </x:c>
      <x:c r="G88" s="14" t="n">
        <x:v>80</x:v>
      </x:c>
      <x:c r="H88" s="14" t="n">
        <x:v>300</x:v>
      </x:c>
      <x:c r="I88" s="10" t="str">
        <x:v>python3-pwntools</x:v>
      </x:c>
      <x:c r="J88" s="13" t="n">
        <x:v>38.9</x:v>
      </x:c>
      <x:c r="K88" s="10" t="str">
        <x:v>可选二进制镜像</x:v>
      </x:c>
      <x:c r="L88" s="10" t="str">
        <x:v>否</x:v>
      </x:c>
      <x:c r="M88" s="10" t="str">
        <x:v>安装配方已包含，未实测</x:v>
      </x:c>
      <x:c r="N88" s="10" t="str">
        <x:v>实际Dockerfile用pip；公共依赖共享</x:v>
      </x:c>
      <x:c r="O88" s="10" t="str">
        <x:v>hexstrike_mcp.py:2046</x:v>
      </x:c>
      <x:c r="P88" s="10" t="str">
        <x:v>SRC-MCP / SRC-SERVER / SRC-KALI / EST</x:v>
      </x:c>
    </x:row>
    <x:row r="89" ht="64" customHeight="1">
      <x:c r="A89" s="11" t="n">
        <x:v>81</x:v>
      </x:c>
      <x:c r="B89" s="9" t="str">
        <x:v>Angr</x:v>
      </x:c>
      <x:c r="C89" s="10" t="str">
        <x:v>二进制逆向</x:v>
      </x:c>
      <x:c r="D89" s="10" t="str">
        <x:v>符号执行与程序行为分析</x:v>
      </x:c>
      <x:c r="E89" s="10" t="str">
        <x:v>已注册专用MCP</x:v>
      </x:c>
      <x:c r="F89" s="10" t="str">
        <x:v>angr_symbolic_execution</x:v>
      </x:c>
      <x:c r="G89" s="14" t="n">
        <x:v>600</x:v>
      </x:c>
      <x:c r="H89" s="14" t="n">
        <x:v>1800</x:v>
      </x:c>
      <x:c r="I89" s="10" t="str">
        <x:v>非Kali主包/在线服务/未指定实现</x:v>
      </x:c>
      <x:c r="J89" s="13"/>
      <x:c r="K89" s="10" t="str">
        <x:v>可选二进制镜像</x:v>
      </x:c>
      <x:c r="L89" s="10" t="str">
        <x:v>否</x:v>
      </x:c>
      <x:c r="M89" s="10" t="str">
        <x:v>安装配方已包含，未实测</x:v>
      </x:c>
      <x:c r="N89" s="10" t="str">
        <x:v>包含Z3、VEX、Capstone等；已有requirements会安装</x:v>
      </x:c>
      <x:c r="O89" s="10" t="str">
        <x:v>hexstrike_mcp.py:2166</x:v>
      </x:c>
      <x:c r="P89" s="10" t="str">
        <x:v>SRC-MCP / SRC-SERVER / EST</x:v>
      </x:c>
    </x:row>
    <x:row r="90" ht="64" customHeight="1">
      <x:c r="A90" s="11" t="n">
        <x:v>82</x:v>
      </x:c>
      <x:c r="B90" s="9" t="str">
        <x:v>Libc-Database</x:v>
      </x:c>
      <x:c r="C90" s="10" t="str">
        <x:v>二进制逆向</x:v>
      </x:c>
      <x:c r="D90" s="10" t="str">
        <x:v>匹配libc版本及查询符号</x:v>
      </x:c>
      <x:c r="E90" s="10" t="str">
        <x:v>已注册专用MCP</x:v>
      </x:c>
      <x:c r="F90" s="10" t="str">
        <x:v>libc_database_lookup</x:v>
      </x:c>
      <x:c r="G90" s="14" t="n">
        <x:v>2</x:v>
      </x:c>
      <x:c r="H90" s="14" t="n">
        <x:v>30</x:v>
      </x:c>
      <x:c r="I90" s="10" t="str">
        <x:v>非Kali主包/在线服务/未指定实现</x:v>
      </x:c>
      <x:c r="J90" s="13"/>
      <x:c r="K90" s="10" t="str">
        <x:v>可选二进制镜像</x:v>
      </x:c>
      <x:c r="L90" s="10" t="str">
        <x:v>否</x:v>
      </x:c>
      <x:c r="M90" s="10" t="str">
        <x:v>安装配方已包含，未实测</x:v>
      </x:c>
      <x:c r="N90" s="10" t="str">
        <x:v>仅脚本；完整libc数据可能数百MiB至多GiB</x:v>
      </x:c>
      <x:c r="O90" s="10" t="str">
        <x:v>hexstrike_mcp.py:2106</x:v>
      </x:c>
      <x:c r="P90" s="10" t="str">
        <x:v>SRC-MCP / SRC-SERVER / EST</x:v>
      </x:c>
    </x:row>
    <x:row r="91" ht="64" customHeight="1">
      <x:c r="A91" s="11" t="n">
        <x:v>83</x:v>
      </x:c>
      <x:c r="B91" s="9" t="str">
        <x:v>Pwninit</x:v>
      </x:c>
      <x:c r="C91" s="10" t="str">
        <x:v>二进制逆向</x:v>
      </x:c>
      <x:c r="D91" s="10" t="str">
        <x:v>准备二进制libc和加载器环境</x:v>
      </x:c>
      <x:c r="E91" s="10" t="str">
        <x:v>已注册专用MCP</x:v>
      </x:c>
      <x:c r="F91" s="10" t="str">
        <x:v>pwninit_setup</x:v>
      </x:c>
      <x:c r="G91" s="14" t="n">
        <x:v>5</x:v>
      </x:c>
      <x:c r="H91" s="14" t="n">
        <x:v>30</x:v>
      </x:c>
      <x:c r="I91" s="10" t="str">
        <x:v>非Kali主包/在线服务/未指定实现</x:v>
      </x:c>
      <x:c r="J91" s="13"/>
      <x:c r="K91" s="10" t="str">
        <x:v>适配后纳入</x:v>
      </x:c>
      <x:c r="L91" s="10" t="str">
        <x:v>否</x:v>
      </x:c>
      <x:c r="M91" s="10" t="str">
        <x:v>安装配方已包含，未实测</x:v>
      </x:c>
      <x:c r="N91" s="10" t="str">
        <x:v>上游默认--template python需核对</x:v>
      </x:c>
      <x:c r="O91" s="10" t="str">
        <x:v>hexstrike_mcp.py:2234</x:v>
      </x:c>
      <x:c r="P91" s="10" t="str">
        <x:v>SRC-MCP / SRC-SERVER / EST</x:v>
      </x:c>
    </x:row>
    <x:row r="92" ht="64" customHeight="1">
      <x:c r="A92" s="11" t="n">
        <x:v>84</x:v>
      </x:c>
      <x:c r="B92" s="9" t="str">
        <x:v>Volatility</x:v>
      </x:c>
      <x:c r="C92" s="10" t="str">
        <x:v>内存取证</x:v>
      </x:c>
      <x:c r="D92" s="10" t="str">
        <x:v>传统Volatility内存镜像分析</x:v>
      </x:c>
      <x:c r="E92" s="10" t="str">
        <x:v>已注册专用MCP</x:v>
      </x:c>
      <x:c r="F92" s="10" t="str">
        <x:v>volatility_analyze</x:v>
      </x:c>
      <x:c r="G92" s="14" t="n">
        <x:v>20</x:v>
      </x:c>
      <x:c r="H92" s="14" t="n">
        <x:v>100</x:v>
      </x:c>
      <x:c r="I92" s="10" t="str">
        <x:v>非Kali主包/在线服务/未指定实现</x:v>
      </x:c>
      <x:c r="J92" s="13"/>
      <x:c r="K92" s="10" t="str">
        <x:v>独立旧版取证镜像</x:v>
      </x:c>
      <x:c r="L92" s="10" t="str">
        <x:v>否</x:v>
      </x:c>
      <x:c r="M92" s="10" t="str">
        <x:v>安装配方已包含，未实测</x:v>
      </x:c>
      <x:c r="N92" s="10" t="str">
        <x:v>另需Python2及旧依赖约80–250MiB；内存镜像外置</x:v>
      </x:c>
      <x:c r="O92" s="10" t="str">
        <x:v>hexstrike_mcp.py:1736</x:v>
      </x:c>
      <x:c r="P92" s="10" t="str">
        <x:v>SRC-MCP / SRC-SERVER / EST</x:v>
      </x:c>
    </x:row>
    <x:row r="93" ht="64" customHeight="1">
      <x:c r="A93" s="11" t="n">
        <x:v>85</x:v>
      </x:c>
      <x:c r="B93" s="9" t="str">
        <x:v>MSFVenom</x:v>
      </x:c>
      <x:c r="C93" s="10" t="str">
        <x:v>二进制安全测试</x:v>
      </x:c>
      <x:c r="D93" s="10" t="str">
        <x:v>生成Metasploit测试载荷</x:v>
      </x:c>
      <x:c r="E93" s="10" t="str">
        <x:v>已注册专用MCP</x:v>
      </x:c>
      <x:c r="F93" s="10" t="str">
        <x:v>msfvenom_generate</x:v>
      </x:c>
      <x:c r="G93" s="14" t="n">
        <x:v>600</x:v>
      </x:c>
      <x:c r="H93" s="14" t="n">
        <x:v>1000</x:v>
      </x:c>
      <x:c r="I93" s="10" t="str">
        <x:v>metasploit-framework</x:v>
      </x:c>
      <x:c r="J93" s="13" t="n">
        <x:v>598.76</x:v>
      </x:c>
      <x:c r="K93" s="10" t="str">
        <x:v>可选二进制镜像</x:v>
      </x:c>
      <x:c r="L93" s="10" t="str">
        <x:v>否</x:v>
      </x:c>
      <x:c r="M93" s="10" t="str">
        <x:v>安装配方已包含，未实测</x:v>
      </x:c>
      <x:c r="N93" s="10" t="str">
        <x:v>和MSFConsole共享Metasploit；首次Ruby/PostgreSQL另计</x:v>
      </x:c>
      <x:c r="O93" s="10" t="str">
        <x:v>hexstrike_mcp.py:1764</x:v>
      </x:c>
      <x:c r="P93" s="10" t="str">
        <x:v>SRC-MCP / SRC-SERVER / SRC-KALI / EST</x:v>
      </x:c>
    </x:row>
    <x:row r="94" ht="64" customHeight="1">
      <x:c r="A94" s="11" t="n">
        <x:v>86</x:v>
      </x:c>
      <x:c r="B94" s="9" t="str">
        <x:v>UPX</x:v>
      </x:c>
      <x:c r="C94" s="10" t="str">
        <x:v>二进制逆向</x:v>
      </x:c>
      <x:c r="D94" s="10" t="str">
        <x:v>可执行文件压缩及解包</x:v>
      </x:c>
      <x:c r="E94" s="10" t="str">
        <x:v>仅后端命令映射</x:v>
      </x:c>
      <x:c r="F94" s="10" t="str">
        <x:v>无专用MCP</x:v>
      </x:c>
      <x:c r="G94" s="14" t="n">
        <x:v>3</x:v>
      </x:c>
      <x:c r="H94" s="14" t="n">
        <x:v>15</x:v>
      </x:c>
      <x:c r="I94" s="10" t="str">
        <x:v>upx-ucl</x:v>
      </x:c>
      <x:c r="J94" s="13" t="n">
        <x:v>2.57</x:v>
      </x:c>
      <x:c r="K94" s="10" t="str">
        <x:v>先封装再纳入</x:v>
      </x:c>
      <x:c r="L94" s="10" t="str">
        <x:v>否</x:v>
      </x:c>
      <x:c r="M94" s="10" t="str">
        <x:v>未显式安装</x:v>
      </x:c>
      <x:c r="N94" s="10" t="str">
        <x:v>仅命令映射；工具本身轻量；CTF自动步骤主要输出命令/模拟成功，不应算已执行集成</x:v>
      </x:c>
      <x:c r="O94" s="10" t="str">
        <x:v>hexstrike_server.py:3585</x:v>
      </x:c>
      <x:c r="P94" s="10" t="str">
        <x:v>SRC-MCP / SRC-SERVER / SRC-KALI / EST</x:v>
      </x:c>
    </x:row>
    <x:row r="95" ht="64" customHeight="1">
      <x:c r="A95" s="11" t="n">
        <x:v>87</x:v>
      </x:c>
      <x:c r="B95" s="9" t="str">
        <x:v>Prowler</x:v>
      </x:c>
      <x:c r="C95" s="10" t="str">
        <x:v>云安全</x:v>
      </x:c>
      <x:c r="D95" s="10" t="str">
        <x:v>云配置、权限和合规检查</x:v>
      </x:c>
      <x:c r="E95" s="10" t="str">
        <x:v>已注册专用MCP</x:v>
      </x:c>
      <x:c r="F95" s="10" t="str">
        <x:v>prowler_scan</x:v>
      </x:c>
      <x:c r="G95" s="14" t="n">
        <x:v>700</x:v>
      </x:c>
      <x:c r="H95" s="14" t="n">
        <x:v>1800</x:v>
      </x:c>
      <x:c r="I95" s="10" t="str">
        <x:v>非Kali主包/在线服务/未指定实现</x:v>
      </x:c>
      <x:c r="J95" s="13"/>
      <x:c r="K95" s="10" t="str">
        <x:v>独立云镜像</x:v>
      </x:c>
      <x:c r="L95" s="10" t="str">
        <x:v>否</x:v>
      </x:c>
      <x:c r="M95" s="10" t="str">
        <x:v>安装配方已包含，未实测</x:v>
      </x:c>
      <x:c r="N95" s="10" t="str">
        <x:v>独立venv包含多云SDK；凭据外置</x:v>
      </x:c>
      <x:c r="O95" s="10" t="str">
        <x:v>hexstrike_mcp.py:422</x:v>
      </x:c>
      <x:c r="P95" s="10" t="str">
        <x:v>SRC-MCP / SRC-SERVER / EST</x:v>
      </x:c>
    </x:row>
    <x:row r="96" ht="64" customHeight="1">
      <x:c r="A96" s="11" t="n">
        <x:v>88</x:v>
      </x:c>
      <x:c r="B96" s="9" t="str">
        <x:v>Scout Suite</x:v>
      </x:c>
      <x:c r="C96" s="10" t="str">
        <x:v>云安全</x:v>
      </x:c>
      <x:c r="D96" s="10" t="str">
        <x:v>多云配置收集与审计报告</x:v>
      </x:c>
      <x:c r="E96" s="10" t="str">
        <x:v>已注册专用MCP</x:v>
      </x:c>
      <x:c r="F96" s="10" t="str">
        <x:v>scout_suite_assessment</x:v>
      </x:c>
      <x:c r="G96" s="14" t="n">
        <x:v>500</x:v>
      </x:c>
      <x:c r="H96" s="14" t="n">
        <x:v>1500</x:v>
      </x:c>
      <x:c r="I96" s="10" t="str">
        <x:v>非Kali主包/在线服务/未指定实现</x:v>
      </x:c>
      <x:c r="J96" s="13"/>
      <x:c r="K96" s="10" t="str">
        <x:v>独立云镜像</x:v>
      </x:c>
      <x:c r="L96" s="10" t="str">
        <x:v>否</x:v>
      </x:c>
      <x:c r="M96" s="10" t="str">
        <x:v>安装配方已包含，未实测</x:v>
      </x:c>
      <x:c r="N96" s="10" t="str">
        <x:v>SDK依赖多；凭据外置</x:v>
      </x:c>
      <x:c r="O96" s="10" t="str">
        <x:v>hexstrike_mcp.py:492</x:v>
      </x:c>
      <x:c r="P96" s="10" t="str">
        <x:v>SRC-MCP / SRC-SERVER / EST</x:v>
      </x:c>
    </x:row>
    <x:row r="97" ht="64" customHeight="1">
      <x:c r="A97" s="11" t="n">
        <x:v>89</x:v>
      </x:c>
      <x:c r="B97" s="9" t="str">
        <x:v>CloudMapper</x:v>
      </x:c>
      <x:c r="C97" s="10" t="str">
        <x:v>云安全</x:v>
      </x:c>
      <x:c r="D97" s="10" t="str">
        <x:v>AWS资产、权限与配置分析</x:v>
      </x:c>
      <x:c r="E97" s="10" t="str">
        <x:v>已注册专用MCP</x:v>
      </x:c>
      <x:c r="F97" s="10" t="str">
        <x:v>cloudmapper_analysis</x:v>
      </x:c>
      <x:c r="G97" s="14" t="n">
        <x:v>700</x:v>
      </x:c>
      <x:c r="H97" s="14" t="n">
        <x:v>2000</x:v>
      </x:c>
      <x:c r="I97" s="10" t="str">
        <x:v>非Kali主包/在线服务/未指定实现</x:v>
      </x:c>
      <x:c r="J97" s="13"/>
      <x:c r="K97" s="10" t="str">
        <x:v>独立云镜像</x:v>
      </x:c>
      <x:c r="L97" s="10" t="str">
        <x:v>否</x:v>
      </x:c>
      <x:c r="M97" s="10" t="str">
        <x:v>安装配方已包含，未实测</x:v>
      </x:c>
      <x:c r="N97" s="10" t="str">
        <x:v>旧Python3.9和数值依赖；配置与账户数据外置</x:v>
      </x:c>
      <x:c r="O97" s="10" t="str">
        <x:v>hexstrike_mcp.py:526</x:v>
      </x:c>
      <x:c r="P97" s="10" t="str">
        <x:v>SRC-MCP / SRC-SERVER / EST</x:v>
      </x:c>
    </x:row>
    <x:row r="98" ht="64" customHeight="1">
      <x:c r="A98" s="11" t="n">
        <x:v>90</x:v>
      </x:c>
      <x:c r="B98" s="9" t="str">
        <x:v>Pacu</x:v>
      </x:c>
      <x:c r="C98" s="10" t="str">
        <x:v>云安全</x:v>
      </x:c>
      <x:c r="D98" s="10" t="str">
        <x:v>AWS模块化安全测试</x:v>
      </x:c>
      <x:c r="E98" s="10" t="str">
        <x:v>已注册专用MCP</x:v>
      </x:c>
      <x:c r="F98" s="10" t="str">
        <x:v>pacu_exploitation</x:v>
      </x:c>
      <x:c r="G98" s="14" t="n">
        <x:v>50</x:v>
      </x:c>
      <x:c r="H98" s="14" t="n">
        <x:v>250</x:v>
      </x:c>
      <x:c r="I98" s="10" t="str">
        <x:v>pacu</x:v>
      </x:c>
      <x:c r="J98" s="13" t="n">
        <x:v>13.38</x:v>
      </x:c>
      <x:c r="K98" s="10" t="str">
        <x:v>独立云镜像</x:v>
      </x:c>
      <x:c r="L98" s="10" t="str">
        <x:v>否</x:v>
      </x:c>
      <x:c r="M98" s="10" t="str">
        <x:v>安装配方已包含，未实测</x:v>
      </x:c>
      <x:c r="N98" s="10" t="str">
        <x:v>AWS SDK可与其他工具共享</x:v>
      </x:c>
      <x:c r="O98" s="10" t="str">
        <x:v>hexstrike_mcp.py:555</x:v>
      </x:c>
      <x:c r="P98" s="10" t="str">
        <x:v>SRC-MCP / SRC-SERVER / SRC-KALI / EST</x:v>
      </x:c>
    </x:row>
    <x:row r="99" ht="64" customHeight="1">
      <x:c r="A99" s="11" t="n">
        <x:v>91</x:v>
      </x:c>
      <x:c r="B99" s="9" t="str">
        <x:v>Trivy</x:v>
      </x:c>
      <x:c r="C99" s="10" t="str">
        <x:v>云容器安全</x:v>
      </x:c>
      <x:c r="D99" s="10" t="str">
        <x:v>软件漏洞、密钥和IaC配置扫描</x:v>
      </x:c>
      <x:c r="E99" s="10" t="str">
        <x:v>已注册专用MCP</x:v>
      </x:c>
      <x:c r="F99" s="10" t="str">
        <x:v>trivy_scan</x:v>
      </x:c>
      <x:c r="G99" s="14" t="n">
        <x:v>230</x:v>
      </x:c>
      <x:c r="H99" s="14" t="n">
        <x:v>400</x:v>
      </x:c>
      <x:c r="I99" s="10" t="str">
        <x:v>trivy</x:v>
      </x:c>
      <x:c r="J99" s="13" t="n">
        <x:v>229.39</x:v>
      </x:c>
      <x:c r="K99" s="10" t="str">
        <x:v>可选云镜像</x:v>
      </x:c>
      <x:c r="L99" s="10" t="str">
        <x:v>否</x:v>
      </x:c>
      <x:c r="M99" s="10" t="str">
        <x:v>安装配方已包含，未实测</x:v>
      </x:c>
      <x:c r="N99" s="10" t="str">
        <x:v>漏洞/Java数据库可能再增加数百MiB至多GiB，建议卷缓存</x:v>
      </x:c>
      <x:c r="O99" s="10" t="str">
        <x:v>hexstrike_mcp.py:456</x:v>
      </x:c>
      <x:c r="P99" s="10" t="str">
        <x:v>SRC-MCP / SRC-SERVER / SRC-KALI / EST</x:v>
      </x:c>
    </x:row>
    <x:row r="100" ht="64" customHeight="1">
      <x:c r="A100" s="11" t="n">
        <x:v>92</x:v>
      </x:c>
      <x:c r="B100" s="9" t="str">
        <x:v>Clair</x:v>
      </x:c>
      <x:c r="C100" s="10" t="str">
        <x:v>云容器安全</x:v>
      </x:c>
      <x:c r="D100" s="10" t="str">
        <x:v>容器软件包漏洞分析</x:v>
      </x:c>
      <x:c r="E100" s="10" t="str">
        <x:v>已注册但CLI不兼容</x:v>
      </x:c>
      <x:c r="F100" s="10" t="str">
        <x:v>clair_vulnerability_scan</x:v>
      </x:c>
      <x:c r="G100" s="14" t="n">
        <x:v>40</x:v>
      </x:c>
      <x:c r="H100" s="14" t="n">
        <x:v>150</x:v>
      </x:c>
      <x:c r="I100" s="10" t="str">
        <x:v>非Kali主包/在线服务/未指定实现</x:v>
      </x:c>
      <x:c r="J100" s="13"/>
      <x:c r="K100" s="10" t="str">
        <x:v>独立服务</x:v>
      </x:c>
      <x:c r="L100" s="10" t="str">
        <x:v>否</x:v>
      </x:c>
      <x:c r="M100" s="10" t="str">
        <x:v>安装配方已包含，未实测</x:v>
      </x:c>
      <x:c r="N100" s="10" t="str">
        <x:v>此处估clairctl客户端；Clair服务、PostgreSQL和漏洞库另计；后端clairctl analyze与当前官方v4 CLI不匹配</x:v>
      </x:c>
      <x:c r="O100" s="10" t="str">
        <x:v>hexstrike_mcp.py:684</x:v>
      </x:c>
      <x:c r="P100" s="10" t="str">
        <x:v>SRC-MCP / SRC-SERVER / EST</x:v>
      </x:c>
    </x:row>
    <x:row r="101" ht="64" customHeight="1">
      <x:c r="A101" s="11" t="n">
        <x:v>93</x:v>
      </x:c>
      <x:c r="B101" s="9" t="str">
        <x:v>Kube-Hunter</x:v>
      </x:c>
      <x:c r="C101" s="10" t="str">
        <x:v>云容器安全</x:v>
      </x:c>
      <x:c r="D101" s="10" t="str">
        <x:v>Kubernetes暴露面和安全检查</x:v>
      </x:c>
      <x:c r="E101" s="10" t="str">
        <x:v>已注册专用MCP</x:v>
      </x:c>
      <x:c r="F101" s="10" t="str">
        <x:v>kube_hunter_scan</x:v>
      </x:c>
      <x:c r="G101" s="14" t="n">
        <x:v>20</x:v>
      </x:c>
      <x:c r="H101" s="14" t="n">
        <x:v>100</x:v>
      </x:c>
      <x:c r="I101" s="10" t="str">
        <x:v>非Kali主包/在线服务/未指定实现</x:v>
      </x:c>
      <x:c r="J101" s="13"/>
      <x:c r="K101" s="10" t="str">
        <x:v>独立云镜像</x:v>
      </x:c>
      <x:c r="L101" s="10" t="str">
        <x:v>否</x:v>
      </x:c>
      <x:c r="M101" s="10" t="str">
        <x:v>安装配方已包含，未实测</x:v>
      </x:c>
      <x:c r="N101" s="10" t="str">
        <x:v>需集群连接和权限</x:v>
      </x:c>
      <x:c r="O101" s="10" t="str">
        <x:v>hexstrike_mcp.py:587</x:v>
      </x:c>
      <x:c r="P101" s="10" t="str">
        <x:v>SRC-MCP / SRC-SERVER / EST</x:v>
      </x:c>
    </x:row>
    <x:row r="102" ht="64" customHeight="1">
      <x:c r="A102" s="11" t="n">
        <x:v>94</x:v>
      </x:c>
      <x:c r="B102" s="9" t="str">
        <x:v>Kube-Bench</x:v>
      </x:c>
      <x:c r="C102" s="10" t="str">
        <x:v>云容器安全</x:v>
      </x:c>
      <x:c r="D102" s="10" t="str">
        <x:v>检查Kubernetes的CIS基准</x:v>
      </x:c>
      <x:c r="E102" s="10" t="str">
        <x:v>已注册专用MCP</x:v>
      </x:c>
      <x:c r="F102" s="10" t="str">
        <x:v>kube_bench_cis</x:v>
      </x:c>
      <x:c r="G102" s="14" t="n">
        <x:v>30</x:v>
      </x:c>
      <x:c r="H102" s="14" t="n">
        <x:v>100</x:v>
      </x:c>
      <x:c r="I102" s="10" t="str">
        <x:v>非Kali主包/在线服务/未指定实现</x:v>
      </x:c>
      <x:c r="J102" s="13"/>
      <x:c r="K102" s="10" t="str">
        <x:v>独立节点任务</x:v>
      </x:c>
      <x:c r="L102" s="10" t="str">
        <x:v>否</x:v>
      </x:c>
      <x:c r="M102" s="10" t="str">
        <x:v>安装配方已包含，未实测</x:v>
      </x:c>
      <x:c r="N102" s="10" t="str">
        <x:v>节点配置和进程访问外配</x:v>
      </x:c>
      <x:c r="O102" s="10" t="str">
        <x:v>hexstrike_mcp.py:623</x:v>
      </x:c>
      <x:c r="P102" s="10" t="str">
        <x:v>SRC-MCP / SRC-SERVER / EST</x:v>
      </x:c>
    </x:row>
    <x:row r="103" ht="64" customHeight="1">
      <x:c r="A103" s="11" t="n">
        <x:v>95</x:v>
      </x:c>
      <x:c r="B103" s="9" t="str">
        <x:v>Docker Bench Security</x:v>
      </x:c>
      <x:c r="C103" s="10" t="str">
        <x:v>云容器安全</x:v>
      </x:c>
      <x:c r="D103" s="10" t="str">
        <x:v>检查Docker宿主机及容器配置</x:v>
      </x:c>
      <x:c r="E103" s="10" t="str">
        <x:v>已注册专用MCP</x:v>
      </x:c>
      <x:c r="F103" s="10" t="str">
        <x:v>docker_bench_security_scan</x:v>
      </x:c>
      <x:c r="G103" s="14" t="n">
        <x:v>1</x:v>
      </x:c>
      <x:c r="H103" s="14" t="n">
        <x:v>10</x:v>
      </x:c>
      <x:c r="I103" s="10" t="str">
        <x:v>非Kali主包/在线服务/未指定实现</x:v>
      </x:c>
      <x:c r="J103" s="13"/>
      <x:c r="K103" s="10" t="str">
        <x:v>独立节点任务</x:v>
      </x:c>
      <x:c r="L103" s="10" t="str">
        <x:v>否</x:v>
      </x:c>
      <x:c r="M103" s="10" t="str">
        <x:v>安装配方已包含，未实测</x:v>
      </x:c>
      <x:c r="N103" s="10" t="str">
        <x:v>脚本自身很小；首次Docker CLI及宿主机访问另计</x:v>
      </x:c>
      <x:c r="O103" s="10" t="str">
        <x:v>hexstrike_mcp.py:654</x:v>
      </x:c>
      <x:c r="P103" s="10" t="str">
        <x:v>SRC-MCP / SRC-SERVER / EST</x:v>
      </x:c>
    </x:row>
    <x:row r="104" ht="64" customHeight="1">
      <x:c r="A104" s="11" t="n">
        <x:v>96</x:v>
      </x:c>
      <x:c r="B104" s="9" t="str">
        <x:v>Falco</x:v>
      </x:c>
      <x:c r="C104" s="10" t="str">
        <x:v>云容器安全</x:v>
      </x:c>
      <x:c r="D104" s="10" t="str">
        <x:v>Linux和容器运行时异常监测</x:v>
      </x:c>
      <x:c r="E104" s="10" t="str">
        <x:v>已注册专用MCP</x:v>
      </x:c>
      <x:c r="F104" s="10" t="str">
        <x:v>falco_runtime_monitoring</x:v>
      </x:c>
      <x:c r="G104" s="14" t="n">
        <x:v>80</x:v>
      </x:c>
      <x:c r="H104" s="14" t="n">
        <x:v>300</x:v>
      </x:c>
      <x:c r="I104" s="10" t="str">
        <x:v>非Kali主包/在线服务/未指定实现</x:v>
      </x:c>
      <x:c r="J104" s="13"/>
      <x:c r="K104" s="10" t="str">
        <x:v>独立节点服务</x:v>
      </x:c>
      <x:c r="L104" s="10" t="str">
        <x:v>否</x:v>
      </x:c>
      <x:c r="M104" s="10" t="str">
        <x:v>安装配方已包含，未实测</x:v>
      </x:c>
      <x:c r="N104" s="10" t="str">
        <x:v>宿主机内核/eBPF/挂载另配</x:v>
      </x:c>
      <x:c r="O104" s="10" t="str">
        <x:v>hexstrike_mcp.py:713</x:v>
      </x:c>
      <x:c r="P104" s="10" t="str">
        <x:v>SRC-MCP / SRC-SERVER / EST</x:v>
      </x:c>
    </x:row>
    <x:row r="105" ht="64" customHeight="1">
      <x:c r="A105" s="11" t="n">
        <x:v>97</x:v>
      </x:c>
      <x:c r="B105" s="9" t="str">
        <x:v>Checkov</x:v>
      </x:c>
      <x:c r="C105" s="10" t="str">
        <x:v>云容器安全</x:v>
      </x:c>
      <x:c r="D105" s="10" t="str">
        <x:v>静态检查IaC安全配置</x:v>
      </x:c>
      <x:c r="E105" s="10" t="str">
        <x:v>已注册专用MCP</x:v>
      </x:c>
      <x:c r="F105" s="10" t="str">
        <x:v>checkov_iac_scan</x:v>
      </x:c>
      <x:c r="G105" s="14" t="n">
        <x:v>250</x:v>
      </x:c>
      <x:c r="H105" s="14" t="n">
        <x:v>800</x:v>
      </x:c>
      <x:c r="I105" s="10" t="str">
        <x:v>非Kali主包/在线服务/未指定实现</x:v>
      </x:c>
      <x:c r="J105" s="13"/>
      <x:c r="K105" s="10" t="str">
        <x:v>独立云镜像</x:v>
      </x:c>
      <x:c r="L105" s="10" t="str">
        <x:v>否</x:v>
      </x:c>
      <x:c r="M105" s="10" t="str">
        <x:v>安装配方已包含，未实测</x:v>
      </x:c>
      <x:c r="N105" s="10" t="str">
        <x:v>独立venv；公共SDK依赖可能共享</x:v>
      </x:c>
      <x:c r="O105" s="10" t="str">
        <x:v>hexstrike_mcp.py:745</x:v>
      </x:c>
      <x:c r="P105" s="10" t="str">
        <x:v>SRC-MCP / SRC-SERVER / EST</x:v>
      </x:c>
    </x:row>
    <x:row r="106" ht="64" customHeight="1">
      <x:c r="A106" s="11" t="n">
        <x:v>98</x:v>
      </x:c>
      <x:c r="B106" s="9" t="str">
        <x:v>Terrascan</x:v>
      </x:c>
      <x:c r="C106" s="10" t="str">
        <x:v>云容器安全</x:v>
      </x:c>
      <x:c r="D106" s="10" t="str">
        <x:v>基于策略检查IaC配置</x:v>
      </x:c>
      <x:c r="E106" s="10" t="str">
        <x:v>已注册专用MCP</x:v>
      </x:c>
      <x:c r="F106" s="10" t="str">
        <x:v>terrascan_iac_scan</x:v>
      </x:c>
      <x:c r="G106" s="14" t="n">
        <x:v>50</x:v>
      </x:c>
      <x:c r="H106" s="14" t="n">
        <x:v>180</x:v>
      </x:c>
      <x:c r="I106" s="10" t="str">
        <x:v>非Kali主包/在线服务/未指定实现</x:v>
      </x:c>
      <x:c r="J106" s="13"/>
      <x:c r="K106" s="10" t="str">
        <x:v>独立云镜像</x:v>
      </x:c>
      <x:c r="L106" s="10" t="str">
        <x:v>否</x:v>
      </x:c>
      <x:c r="M106" s="10" t="str">
        <x:v>安装配方已包含，未实测</x:v>
      </x:c>
      <x:c r="N106" s="10" t="str">
        <x:v>策略库另计</x:v>
      </x:c>
      <x:c r="O106" s="10" t="str">
        <x:v>hexstrike_mcp.py:779</x:v>
      </x:c>
      <x:c r="P106" s="10" t="str">
        <x:v>SRC-MCP / SRC-SERVER / EST</x:v>
      </x:c>
    </x:row>
    <x:row r="107" ht="64" customHeight="1">
      <x:c r="A107" s="11" t="n">
        <x:v>99</x:v>
      </x:c>
      <x:c r="B107" s="9" t="str">
        <x:v>CloudSploit</x:v>
      </x:c>
      <x:c r="C107" s="10" t="str">
        <x:v>云容器安全</x:v>
      </x:c>
      <x:c r="D107" s="10" t="str">
        <x:v>云安全配置检查</x:v>
      </x:c>
      <x:c r="E107" s="10" t="str">
        <x:v>仅README列举</x:v>
      </x:c>
      <x:c r="F107" s="10" t="str">
        <x:v>无专用MCP</x:v>
      </x:c>
      <x:c r="G107" s="14" t="n">
        <x:v>80</x:v>
      </x:c>
      <x:c r="H107" s="14" t="n">
        <x:v>300</x:v>
      </x:c>
      <x:c r="I107" s="10" t="str">
        <x:v>非Kali主包/在线服务/未指定实现</x:v>
      </x:c>
      <x:c r="J107" s="13"/>
      <x:c r="K107" s="10" t="str">
        <x:v>先封装再纳入</x:v>
      </x:c>
      <x:c r="L107" s="10" t="str">
        <x:v>否</x:v>
      </x:c>
      <x:c r="M107" s="10" t="str">
        <x:v>未显式安装</x:v>
      </x:c>
      <x:c r="N107" s="10" t="str">
        <x:v>无专用接口；首次Node.js运行时另计</x:v>
      </x:c>
      <x:c r="O107" s="10" t="str">
        <x:v>README.md:Security Tools Arsenal</x:v>
      </x:c>
      <x:c r="P107" s="10" t="str">
        <x:v>SRC-MCP / SRC-SERVER / EST</x:v>
      </x:c>
    </x:row>
    <x:row r="108" ht="64" customHeight="1">
      <x:c r="A108" s="11" t="n">
        <x:v>100</x:v>
      </x:c>
      <x:c r="B108" s="9" t="str">
        <x:v>AWS CLI</x:v>
      </x:c>
      <x:c r="C108" s="10" t="str">
        <x:v>云基础工具</x:v>
      </x:c>
      <x:c r="D108" s="10" t="str">
        <x:v>查询和管理AWS资源</x:v>
      </x:c>
      <x:c r="E108" s="10" t="str">
        <x:v>仅后端命令映射</x:v>
      </x:c>
      <x:c r="F108" s="10" t="str">
        <x:v>无专用MCP</x:v>
      </x:c>
      <x:c r="G108" s="14" t="n">
        <x:v>143</x:v>
      </x:c>
      <x:c r="H108" s="14" t="n">
        <x:v>250</x:v>
      </x:c>
      <x:c r="I108" s="10" t="str">
        <x:v>awscli</x:v>
      </x:c>
      <x:c r="J108" s="13" t="n">
        <x:v>142.01</x:v>
      </x:c>
      <x:c r="K108" s="10" t="str">
        <x:v>独立云镜像</x:v>
      </x:c>
      <x:c r="L108" s="10" t="str">
        <x:v>否</x:v>
      </x:c>
      <x:c r="M108" s="10" t="str">
        <x:v>由辅助awscli包提供，未实测</x:v>
      </x:c>
      <x:c r="N108" s="10" t="str">
        <x:v>无专用接口；作为云工具辅助已安装；CTF自动步骤主要输出命令/模拟成功，不应算已执行集成</x:v>
      </x:c>
      <x:c r="O108" s="10" t="str">
        <x:v>hexstrike_server.py:3657</x:v>
      </x:c>
      <x:c r="P108" s="10" t="str">
        <x:v>SRC-MCP / SRC-SERVER / SRC-KALI / EST</x:v>
      </x:c>
    </x:row>
    <x:row r="109" ht="64" customHeight="1">
      <x:c r="A109" s="11" t="n">
        <x:v>101</x:v>
      </x:c>
      <x:c r="B109" s="9" t="str">
        <x:v>Azure CLI</x:v>
      </x:c>
      <x:c r="C109" s="10" t="str">
        <x:v>云基础工具</x:v>
      </x:c>
      <x:c r="D109" s="10" t="str">
        <x:v>查询和管理Azure资源</x:v>
      </x:c>
      <x:c r="E109" s="10" t="str">
        <x:v>仅后端命令映射</x:v>
      </x:c>
      <x:c r="F109" s="10" t="str">
        <x:v>无专用MCP</x:v>
      </x:c>
      <x:c r="G109" s="14" t="n">
        <x:v>400</x:v>
      </x:c>
      <x:c r="H109" s="14" t="n">
        <x:v>1000</x:v>
      </x:c>
      <x:c r="I109" s="10" t="str">
        <x:v>非Kali主包/在线服务/未指定实现</x:v>
      </x:c>
      <x:c r="J109" s="13"/>
      <x:c r="K109" s="10" t="str">
        <x:v>先封装再纳入</x:v>
      </x:c>
      <x:c r="L109" s="10" t="str">
        <x:v>否</x:v>
      </x:c>
      <x:c r="M109" s="10" t="str">
        <x:v>未显式安装</x:v>
      </x:c>
      <x:c r="N109" s="10" t="str">
        <x:v>目前仅后端命令映射；CTF自动步骤主要输出命令/模拟成功，不应算已执行集成</x:v>
      </x:c>
      <x:c r="O109" s="10" t="str">
        <x:v>hexstrike_server.py:3658</x:v>
      </x:c>
      <x:c r="P109" s="10" t="str">
        <x:v>SRC-MCP / SRC-SERVER / EST</x:v>
      </x:c>
    </x:row>
    <x:row r="110" ht="64" customHeight="1">
      <x:c r="A110" s="11" t="n">
        <x:v>102</x:v>
      </x:c>
      <x:c r="B110" s="9" t="str">
        <x:v>GCloud</x:v>
      </x:c>
      <x:c r="C110" s="10" t="str">
        <x:v>云基础工具</x:v>
      </x:c>
      <x:c r="D110" s="10" t="str">
        <x:v>查询和管理GCP资源</x:v>
      </x:c>
      <x:c r="E110" s="10" t="str">
        <x:v>仅后端命令映射</x:v>
      </x:c>
      <x:c r="F110" s="10" t="str">
        <x:v>无专用MCP</x:v>
      </x:c>
      <x:c r="G110" s="14" t="n">
        <x:v>500</x:v>
      </x:c>
      <x:c r="H110" s="14" t="n">
        <x:v>1500</x:v>
      </x:c>
      <x:c r="I110" s="10" t="str">
        <x:v>非Kali主包/在线服务/未指定实现</x:v>
      </x:c>
      <x:c r="J110" s="13"/>
      <x:c r="K110" s="10" t="str">
        <x:v>先封装再纳入</x:v>
      </x:c>
      <x:c r="L110" s="10" t="str">
        <x:v>否</x:v>
      </x:c>
      <x:c r="M110" s="10" t="str">
        <x:v>未显式安装</x:v>
      </x:c>
      <x:c r="N110" s="10" t="str">
        <x:v>目前仅后端命令映射；CTF自动步骤主要输出命令/模拟成功，不应算已执行集成</x:v>
      </x:c>
      <x:c r="O110" s="10" t="str">
        <x:v>hexstrike_server.py:3659</x:v>
      </x:c>
      <x:c r="P110" s="10" t="str">
        <x:v>SRC-MCP / SRC-SERVER / EST</x:v>
      </x:c>
    </x:row>
    <x:row r="111" ht="64" customHeight="1">
      <x:c r="A111" s="11" t="n">
        <x:v>103</x:v>
      </x:c>
      <x:c r="B111" s="9" t="str">
        <x:v>Kubectl</x:v>
      </x:c>
      <x:c r="C111" s="10" t="str">
        <x:v>云基础工具</x:v>
      </x:c>
      <x:c r="D111" s="10" t="str">
        <x:v>查询和管理Kubernetes资源</x:v>
      </x:c>
      <x:c r="E111" s="10" t="str">
        <x:v>仅后端命令映射</x:v>
      </x:c>
      <x:c r="F111" s="10" t="str">
        <x:v>无专用MCP</x:v>
      </x:c>
      <x:c r="G111" s="14" t="n">
        <x:v>30</x:v>
      </x:c>
      <x:c r="H111" s="14" t="n">
        <x:v>100</x:v>
      </x:c>
      <x:c r="I111" s="10" t="str">
        <x:v>kubernetes-client</x:v>
      </x:c>
      <x:c r="J111" s="13" t="n">
        <x:v>0.09</x:v>
      </x:c>
      <x:c r="K111" s="10" t="str">
        <x:v>独立云镜像</x:v>
      </x:c>
      <x:c r="L111" s="10" t="str">
        <x:v>否</x:v>
      </x:c>
      <x:c r="M111" s="10" t="str">
        <x:v>由辅助kubernetes-client包提供，未实测</x:v>
      </x:c>
      <x:c r="N111" s="10" t="str">
        <x:v>无专用MCP；作为云工具辅助已安装；CTF自动步骤主要输出命令/模拟成功，不应算已执行集成</x:v>
      </x:c>
      <x:c r="O111" s="10" t="str">
        <x:v>hexstrike_server.py:3656</x:v>
      </x:c>
      <x:c r="P111" s="10" t="str">
        <x:v>SRC-MCP / SRC-SERVER / SRC-KALI / EST</x:v>
      </x:c>
    </x:row>
    <x:row r="112" ht="64" customHeight="1">
      <x:c r="A112" s="11" t="n">
        <x:v>104</x:v>
      </x:c>
      <x:c r="B112" s="9" t="str">
        <x:v>Helm</x:v>
      </x:c>
      <x:c r="C112" s="10" t="str">
        <x:v>云基础工具</x:v>
      </x:c>
      <x:c r="D112" s="10" t="str">
        <x:v>管理Kubernetes应用包</x:v>
      </x:c>
      <x:c r="E112" s="10" t="str">
        <x:v>仅README列举</x:v>
      </x:c>
      <x:c r="F112" s="10" t="str">
        <x:v>无专用MCP</x:v>
      </x:c>
      <x:c r="G112" s="14" t="n">
        <x:v>30</x:v>
      </x:c>
      <x:c r="H112" s="14" t="n">
        <x:v>100</x:v>
      </x:c>
      <x:c r="I112" s="10" t="str">
        <x:v>非Kali主包/在线服务/未指定实现</x:v>
      </x:c>
      <x:c r="J112" s="13"/>
      <x:c r="K112" s="10" t="str">
        <x:v>暂不纳入</x:v>
      </x:c>
      <x:c r="L112" s="10" t="str">
        <x:v>否</x:v>
      </x:c>
      <x:c r="M112" s="10" t="str">
        <x:v>未显式安装</x:v>
      </x:c>
      <x:c r="N112" s="10" t="str">
        <x:v>无专用接口或明确调用实现</x:v>
      </x:c>
      <x:c r="O112" s="10" t="str">
        <x:v>README.md:Security Tools Arsenal</x:v>
      </x:c>
      <x:c r="P112" s="10" t="str">
        <x:v>SRC-MCP / SRC-SERVER / EST</x:v>
      </x:c>
    </x:row>
    <x:row r="113" ht="64" customHeight="1">
      <x:c r="A113" s="11" t="n">
        <x:v>105</x:v>
      </x:c>
      <x:c r="B113" s="9" t="str">
        <x:v>Istio</x:v>
      </x:c>
      <x:c r="C113" s="10" t="str">
        <x:v>云原生组件</x:v>
      </x:c>
      <x:c r="D113" s="10" t="str">
        <x:v>服务网格认证、策略和流量治理</x:v>
      </x:c>
      <x:c r="E113" s="10" t="str">
        <x:v>仅README列举</x:v>
      </x:c>
      <x:c r="F113" s="10" t="str">
        <x:v>无专用MCP</x:v>
      </x:c>
      <x:c r="G113" s="14" t="n">
        <x:v>100</x:v>
      </x:c>
      <x:c r="H113" s="14" t="n">
        <x:v>300</x:v>
      </x:c>
      <x:c r="I113" s="10" t="str">
        <x:v>非Kali主包/在线服务/未指定实现</x:v>
      </x:c>
      <x:c r="J113" s="13"/>
      <x:c r="K113" s="10" t="str">
        <x:v>独立服务</x:v>
      </x:c>
      <x:c r="L113" s="10" t="str">
        <x:v>否</x:v>
      </x:c>
      <x:c r="M113" s="10" t="str">
        <x:v>未显式安装</x:v>
      </x:c>
      <x:c r="N113" s="10" t="str">
        <x:v>只估istioctl客户端；控制面与数据面镜像另计</x:v>
      </x:c>
      <x:c r="O113" s="10" t="str">
        <x:v>README.md:Security Tools Arsenal</x:v>
      </x:c>
      <x:c r="P113" s="10" t="str">
        <x:v>SRC-MCP / SRC-SERVER / EST</x:v>
      </x:c>
    </x:row>
    <x:row r="114" ht="64" customHeight="1">
      <x:c r="A114" s="11" t="n">
        <x:v>106</x:v>
      </x:c>
      <x:c r="B114" s="9" t="str">
        <x:v>OPA</x:v>
      </x:c>
      <x:c r="C114" s="10" t="str">
        <x:v>云原生组件</x:v>
      </x:c>
      <x:c r="D114" s="10" t="str">
        <x:v>执行策略和合规判断</x:v>
      </x:c>
      <x:c r="E114" s="10" t="str">
        <x:v>仅README列举</x:v>
      </x:c>
      <x:c r="F114" s="10" t="str">
        <x:v>无专用MCP</x:v>
      </x:c>
      <x:c r="G114" s="14" t="n">
        <x:v>30</x:v>
      </x:c>
      <x:c r="H114" s="14" t="n">
        <x:v>120</x:v>
      </x:c>
      <x:c r="I114" s="10" t="str">
        <x:v>非Kali主包/在线服务/未指定实现</x:v>
      </x:c>
      <x:c r="J114" s="13"/>
      <x:c r="K114" s="10" t="str">
        <x:v>暂不纳入</x:v>
      </x:c>
      <x:c r="L114" s="10" t="str">
        <x:v>否</x:v>
      </x:c>
      <x:c r="M114" s="10" t="str">
        <x:v>未显式安装</x:v>
      </x:c>
      <x:c r="N114" s="10" t="str">
        <x:v>无专用接口或明确调用实现</x:v>
      </x:c>
      <x:c r="O114" s="10" t="str">
        <x:v>README.md:Security Tools Arsenal</x:v>
      </x:c>
      <x:c r="P114" s="10" t="str">
        <x:v>SRC-MCP / SRC-SERVER / EST</x:v>
      </x:c>
    </x:row>
    <x:row r="115" ht="64" customHeight="1">
      <x:c r="A115" s="11" t="n">
        <x:v>107</x:v>
      </x:c>
      <x:c r="B115" s="9" t="str">
        <x:v>Volatility3</x:v>
      </x:c>
      <x:c r="C115" s="10" t="str">
        <x:v>内存取证</x:v>
      </x:c>
      <x:c r="D115" s="10" t="str">
        <x:v>新一代内存镜像分析</x:v>
      </x:c>
      <x:c r="E115" s="10" t="str">
        <x:v>已注册专用MCP</x:v>
      </x:c>
      <x:c r="F115" s="10" t="str">
        <x:v>volatility3_analyze</x:v>
      </x:c>
      <x:c r="G115" s="14" t="n">
        <x:v>20</x:v>
      </x:c>
      <x:c r="H115" s="14" t="n">
        <x:v>120</x:v>
      </x:c>
      <x:c r="I115" s="10" t="str">
        <x:v>非Kali主包/在线服务/未指定实现</x:v>
      </x:c>
      <x:c r="J115" s="13"/>
      <x:c r="K115" s="10" t="str">
        <x:v>可选取证镜像</x:v>
      </x:c>
      <x:c r="L115" s="10" t="str">
        <x:v>否</x:v>
      </x:c>
      <x:c r="M115" s="10" t="str">
        <x:v>安装配方已包含，未实测</x:v>
      </x:c>
      <x:c r="N115" s="10" t="str">
        <x:v>符号缓存和内存镜像另计</x:v>
      </x:c>
      <x:c r="O115" s="10" t="str">
        <x:v>hexstrike_mcp.py:3201</x:v>
      </x:c>
      <x:c r="P115" s="10" t="str">
        <x:v>SRC-MCP / SRC-SERVER / EST</x:v>
      </x:c>
    </x:row>
    <x:row r="116" ht="64" customHeight="1">
      <x:c r="A116" s="11" t="n">
        <x:v>108</x:v>
      </x:c>
      <x:c r="B116" s="9" t="str">
        <x:v>Foremost</x:v>
      </x:c>
      <x:c r="C116" s="10" t="str">
        <x:v>数字取证</x:v>
      </x:c>
      <x:c r="D116" s="10" t="str">
        <x:v>按文件特征恢复文件</x:v>
      </x:c>
      <x:c r="E116" s="10" t="str">
        <x:v>已注册专用MCP</x:v>
      </x:c>
      <x:c r="F116" s="10" t="str">
        <x:v>foremost_carving</x:v>
      </x:c>
      <x:c r="G116" s="14" t="n">
        <x:v>1</x:v>
      </x:c>
      <x:c r="H116" s="14" t="n">
        <x:v>10</x:v>
      </x:c>
      <x:c r="I116" s="10" t="str">
        <x:v>foremost</x:v>
      </x:c>
      <x:c r="J116" s="13" t="n">
        <x:v>0.1</x:v>
      </x:c>
      <x:c r="K116" s="10" t="str">
        <x:v>可选取证镜像</x:v>
      </x:c>
      <x:c r="L116" s="10" t="str">
        <x:v>否</x:v>
      </x:c>
      <x:c r="M116" s="10" t="str">
        <x:v>安装配方已包含，未实测</x:v>
      </x:c>
      <x:c r="N116" s="10" t="str">
        <x:v>证据与恢复结果外置</x:v>
      </x:c>
      <x:c r="O116" s="10" t="str">
        <x:v>hexstrike_mcp.py:3229</x:v>
      </x:c>
      <x:c r="P116" s="10" t="str">
        <x:v>SRC-MCP / SRC-SERVER / SRC-KALI / EST</x:v>
      </x:c>
    </x:row>
    <x:row r="117" ht="64" customHeight="1">
      <x:c r="A117" s="11" t="n">
        <x:v>109</x:v>
      </x:c>
      <x:c r="B117" s="9" t="str">
        <x:v>PhotoRec</x:v>
      </x:c>
      <x:c r="C117" s="10" t="str">
        <x:v>数字取证</x:v>
      </x:c>
      <x:c r="D117" s="10" t="str">
        <x:v>从存储介质恢复文件</x:v>
      </x:c>
      <x:c r="E117" s="10" t="str">
        <x:v>仅后端命令映射</x:v>
      </x:c>
      <x:c r="F117" s="10" t="str">
        <x:v>无专用MCP</x:v>
      </x:c>
      <x:c r="G117" s="14" t="n">
        <x:v>5</x:v>
      </x:c>
      <x:c r="H117" s="14" t="n">
        <x:v>30</x:v>
      </x:c>
      <x:c r="I117" s="10" t="str">
        <x:v>testdisk</x:v>
      </x:c>
      <x:c r="J117" s="13" t="n">
        <x:v>0.52</x:v>
      </x:c>
      <x:c r="K117" s="10" t="str">
        <x:v>先封装再纳入</x:v>
      </x:c>
      <x:c r="L117" s="10" t="str">
        <x:v>否</x:v>
      </x:c>
      <x:c r="M117" s="10" t="str">
        <x:v>未显式安装</x:v>
      </x:c>
      <x:c r="N117" s="10" t="str">
        <x:v>与TestDisk共享软件包；仅命令映射/检查；CTF自动步骤主要输出命令/模拟成功，不应算已执行集成</x:v>
      </x:c>
      <x:c r="O117" s="10" t="str">
        <x:v>hexstrike_server.py:3560</x:v>
      </x:c>
      <x:c r="P117" s="10" t="str">
        <x:v>SRC-MCP / SRC-SERVER / SRC-KALI / EST</x:v>
      </x:c>
    </x:row>
    <x:row r="118" ht="64" customHeight="1">
      <x:c r="A118" s="11" t="n">
        <x:v>110</x:v>
      </x:c>
      <x:c r="B118" s="9" t="str">
        <x:v>TestDisk</x:v>
      </x:c>
      <x:c r="C118" s="10" t="str">
        <x:v>数字取证</x:v>
      </x:c>
      <x:c r="D118" s="10" t="str">
        <x:v>分区、引导和文件系统恢复</x:v>
      </x:c>
      <x:c r="E118" s="10" t="str">
        <x:v>仅后端命令映射</x:v>
      </x:c>
      <x:c r="F118" s="10" t="str">
        <x:v>无专用MCP</x:v>
      </x:c>
      <x:c r="G118" s="14" t="n">
        <x:v>5</x:v>
      </x:c>
      <x:c r="H118" s="14" t="n">
        <x:v>30</x:v>
      </x:c>
      <x:c r="I118" s="10" t="str">
        <x:v>testdisk</x:v>
      </x:c>
      <x:c r="J118" s="13" t="n">
        <x:v>0.52</x:v>
      </x:c>
      <x:c r="K118" s="10" t="str">
        <x:v>先封装再纳入</x:v>
      </x:c>
      <x:c r="L118" s="10" t="str">
        <x:v>否</x:v>
      </x:c>
      <x:c r="M118" s="10" t="str">
        <x:v>未显式安装</x:v>
      </x:c>
      <x:c r="N118" s="10" t="str">
        <x:v>与PhotoRec不能重复计成本；CTF自动步骤主要输出命令/模拟成功，不应算已执行集成</x:v>
      </x:c>
      <x:c r="O118" s="10" t="str">
        <x:v>hexstrike_server.py:3561</x:v>
      </x:c>
      <x:c r="P118" s="10" t="str">
        <x:v>SRC-MCP / SRC-SERVER / SRC-KALI / EST</x:v>
      </x:c>
    </x:row>
    <x:row r="119" ht="64" customHeight="1">
      <x:c r="A119" s="11" t="n">
        <x:v>111</x:v>
      </x:c>
      <x:c r="B119" s="9" t="str">
        <x:v>Steghide</x:v>
      </x:c>
      <x:c r="C119" s="10" t="str">
        <x:v>隐写分析</x:v>
      </x:c>
      <x:c r="D119" s="10" t="str">
        <x:v>嵌入或提取隐藏数据</x:v>
      </x:c>
      <x:c r="E119" s="10" t="str">
        <x:v>已注册专用MCP</x:v>
      </x:c>
      <x:c r="F119" s="10" t="str">
        <x:v>steghide_analysis</x:v>
      </x:c>
      <x:c r="G119" s="14" t="n">
        <x:v>1</x:v>
      </x:c>
      <x:c r="H119" s="14" t="n">
        <x:v>15</x:v>
      </x:c>
      <x:c r="I119" s="10" t="str">
        <x:v>steghide</x:v>
      </x:c>
      <x:c r="J119" s="13" t="n">
        <x:v>0.51</x:v>
      </x:c>
      <x:c r="K119" s="10" t="str">
        <x:v>可选取证镜像</x:v>
      </x:c>
      <x:c r="L119" s="10" t="str">
        <x:v>否</x:v>
      </x:c>
      <x:c r="M119" s="10" t="str">
        <x:v>安装配方已包含，未实测</x:v>
      </x:c>
      <x:c r="N119" s="10" t="str">
        <x:v>轻量本地工具</x:v>
      </x:c>
      <x:c r="O119" s="10" t="str">
        <x:v>hexstrike_mcp.py:3257</x:v>
      </x:c>
      <x:c r="P119" s="10" t="str">
        <x:v>SRC-MCP / SRC-SERVER / SRC-KALI / EST</x:v>
      </x:c>
    </x:row>
    <x:row r="120" ht="64" customHeight="1">
      <x:c r="A120" s="11" t="n">
        <x:v>112</x:v>
      </x:c>
      <x:c r="B120" s="9" t="str">
        <x:v>Stegsolve</x:v>
      </x:c>
      <x:c r="C120" s="10" t="str">
        <x:v>隐写分析</x:v>
      </x:c>
      <x:c r="D120" s="10" t="str">
        <x:v>图片通道和位平面可视化</x:v>
      </x:c>
      <x:c r="E120" s="10" t="str">
        <x:v>仅后端命令映射</x:v>
      </x:c>
      <x:c r="F120" s="10" t="str">
        <x:v>无专用MCP</x:v>
      </x:c>
      <x:c r="G120" s="14" t="n">
        <x:v>1</x:v>
      </x:c>
      <x:c r="H120" s="14" t="n">
        <x:v>10</x:v>
      </x:c>
      <x:c r="I120" s="10" t="str">
        <x:v>非Kali主包/在线服务/未指定实现</x:v>
      </x:c>
      <x:c r="J120" s="13"/>
      <x:c r="K120" s="10" t="str">
        <x:v>暂不纳入</x:v>
      </x:c>
      <x:c r="L120" s="10" t="str">
        <x:v>否</x:v>
      </x:c>
      <x:c r="M120" s="10" t="str">
        <x:v>未显式安装</x:v>
      </x:c>
      <x:c r="N120" s="10" t="str">
        <x:v>GUI/JAR工具；JRE另计；仅命令映射/检查；CTF自动步骤主要输出命令/模拟成功，不应算已执行集成</x:v>
      </x:c>
      <x:c r="O120" s="10" t="str">
        <x:v>hexstrike_server.py:3564</x:v>
      </x:c>
      <x:c r="P120" s="10" t="str">
        <x:v>SRC-MCP / SRC-SERVER / EST</x:v>
      </x:c>
    </x:row>
    <x:row r="121" ht="64" customHeight="1">
      <x:c r="A121" s="11" t="n">
        <x:v>113</x:v>
      </x:c>
      <x:c r="B121" s="9" t="str">
        <x:v>Zsteg</x:v>
      </x:c>
      <x:c r="C121" s="10" t="str">
        <x:v>隐写分析</x:v>
      </x:c>
      <x:c r="D121" s="10" t="str">
        <x:v>PNG/BMP最低有效位隐写检测</x:v>
      </x:c>
      <x:c r="E121" s="10" t="str">
        <x:v>后端有调用，无专用MCP</x:v>
      </x:c>
      <x:c r="F121" s="10" t="str">
        <x:v>无专用MCP</x:v>
      </x:c>
      <x:c r="G121" s="14" t="n">
        <x:v>2</x:v>
      </x:c>
      <x:c r="H121" s="14" t="n">
        <x:v>20</x:v>
      </x:c>
      <x:c r="I121" s="10" t="str">
        <x:v>非Kali主包/在线服务/未指定实现</x:v>
      </x:c>
      <x:c r="J121" s="13"/>
      <x:c r="K121" s="10" t="str">
        <x:v>先封装再纳入</x:v>
      </x:c>
      <x:c r="L121" s="10" t="str">
        <x:v>否</x:v>
      </x:c>
      <x:c r="M121" s="10" t="str">
        <x:v>未显式安装</x:v>
      </x:c>
      <x:c r="N121" s="10" t="str">
        <x:v>Ruby运行时另计；后端另有实际分析调用但无专用MCP；CTF自动步骤主要输出命令/模拟成功，不应算已执行集成</x:v>
      </x:c>
      <x:c r="O121" s="10" t="str">
        <x:v>hexstrike_server.py:3565; hexstrike_server.py:16466–16469</x:v>
      </x:c>
      <x:c r="P121" s="10" t="str">
        <x:v>SRC-MCP / SRC-SERVER / EST</x:v>
      </x:c>
    </x:row>
    <x:row r="122" ht="64" customHeight="1">
      <x:c r="A122" s="11" t="n">
        <x:v>114</x:v>
      </x:c>
      <x:c r="B122" s="9" t="str">
        <x:v>Outguess</x:v>
      </x:c>
      <x:c r="C122" s="10" t="str">
        <x:v>隐写分析</x:v>
      </x:c>
      <x:c r="D122" s="10" t="str">
        <x:v>图片隐藏数据嵌入和提取</x:v>
      </x:c>
      <x:c r="E122" s="10" t="str">
        <x:v>后端有调用，无专用MCP</x:v>
      </x:c>
      <x:c r="F122" s="10" t="str">
        <x:v>无专用MCP</x:v>
      </x:c>
      <x:c r="G122" s="14" t="n">
        <x:v>1</x:v>
      </x:c>
      <x:c r="H122" s="14" t="n">
        <x:v>10</x:v>
      </x:c>
      <x:c r="I122" s="10" t="str">
        <x:v>非Kali主包/在线服务/未指定实现</x:v>
      </x:c>
      <x:c r="J122" s="13"/>
      <x:c r="K122" s="10" t="str">
        <x:v>先封装再纳入</x:v>
      </x:c>
      <x:c r="L122" s="10" t="str">
        <x:v>否</x:v>
      </x:c>
      <x:c r="M122" s="10" t="str">
        <x:v>未显式安装</x:v>
      </x:c>
      <x:c r="N122" s="10" t="str">
        <x:v>后端另有实际分析调用但无专用MCP；CTF自动步骤主要输出命令/模拟成功，不应算已执行集成</x:v>
      </x:c>
      <x:c r="O122" s="10" t="str">
        <x:v>hexstrike_server.py:3566; hexstrike_server.py:16466–16469</x:v>
      </x:c>
      <x:c r="P122" s="10" t="str">
        <x:v>SRC-MCP / SRC-SERVER / EST</x:v>
      </x:c>
    </x:row>
    <x:row r="123" ht="64" customHeight="1">
      <x:c r="A123" s="11" t="n">
        <x:v>115</x:v>
      </x:c>
      <x:c r="B123" s="9" t="str">
        <x:v>ExifTool</x:v>
      </x:c>
      <x:c r="C123" s="10" t="str">
        <x:v>数字取证</x:v>
      </x:c>
      <x:c r="D123" s="10" t="str">
        <x:v>读取和分析文件元数据</x:v>
      </x:c>
      <x:c r="E123" s="10" t="str">
        <x:v>已注册专用MCP</x:v>
      </x:c>
      <x:c r="F123" s="10" t="str">
        <x:v>exiftool_extract</x:v>
      </x:c>
      <x:c r="G123" s="14" t="n">
        <x:v>29</x:v>
      </x:c>
      <x:c r="H123" s="14" t="n">
        <x:v>40</x:v>
      </x:c>
      <x:c r="I123" s="10" t="str">
        <x:v>libimage-exiftool-perl</x:v>
      </x:c>
      <x:c r="J123" s="13" t="n">
        <x:v>28.5</x:v>
      </x:c>
      <x:c r="K123" s="10" t="str">
        <x:v>可选取证镜像</x:v>
      </x:c>
      <x:c r="L123" s="10" t="str">
        <x:v>否</x:v>
      </x:c>
      <x:c r="M123" s="10" t="str">
        <x:v>安装配方已包含，未实测</x:v>
      </x:c>
      <x:c r="N123" s="10" t="str">
        <x:v>Perl共享运行时</x:v>
      </x:c>
      <x:c r="O123" s="10" t="str">
        <x:v>hexstrike_mcp.py:3289</x:v>
      </x:c>
      <x:c r="P123" s="10" t="str">
        <x:v>SRC-MCP / SRC-SERVER / SRC-KALI / EST</x:v>
      </x:c>
    </x:row>
    <x:row r="124" ht="64" customHeight="1">
      <x:c r="A124" s="11" t="n">
        <x:v>116</x:v>
      </x:c>
      <x:c r="B124" s="9" t="str">
        <x:v>Scalpel</x:v>
      </x:c>
      <x:c r="C124" s="10" t="str">
        <x:v>数字取证</x:v>
      </x:c>
      <x:c r="D124" s="10" t="str">
        <x:v>按文件头尾恢复数据</x:v>
      </x:c>
      <x:c r="E124" s="10" t="str">
        <x:v>仅后端命令映射</x:v>
      </x:c>
      <x:c r="F124" s="10" t="str">
        <x:v>无专用MCP</x:v>
      </x:c>
      <x:c r="G124" s="14" t="n">
        <x:v>1</x:v>
      </x:c>
      <x:c r="H124" s="14" t="n">
        <x:v>15</x:v>
      </x:c>
      <x:c r="I124" s="10" t="str">
        <x:v>scalpel</x:v>
      </x:c>
      <x:c r="J124" s="13" t="n">
        <x:v>0.09</x:v>
      </x:c>
      <x:c r="K124" s="10" t="str">
        <x:v>先封装再纳入</x:v>
      </x:c>
      <x:c r="L124" s="10" t="str">
        <x:v>否</x:v>
      </x:c>
      <x:c r="M124" s="10" t="str">
        <x:v>未显式安装</x:v>
      </x:c>
      <x:c r="N124" s="10" t="str">
        <x:v>仅命令映射/检查；CTF自动步骤主要输出命令/模拟成功，不应算已执行集成</x:v>
      </x:c>
      <x:c r="O124" s="10" t="str">
        <x:v>hexstrike_server.py:3576</x:v>
      </x:c>
      <x:c r="P124" s="10" t="str">
        <x:v>SRC-MCP / SRC-SERVER / SRC-KALI / EST</x:v>
      </x:c>
    </x:row>
    <x:row r="125" ht="64" customHeight="1">
      <x:c r="A125" s="11" t="n">
        <x:v>117</x:v>
      </x:c>
      <x:c r="B125" s="9" t="str">
        <x:v>Bulk Extractor</x:v>
      </x:c>
      <x:c r="C125" s="10" t="str">
        <x:v>数字取证</x:v>
      </x:c>
      <x:c r="D125" s="10" t="str">
        <x:v>从镜像提取邮箱和URL等特征</x:v>
      </x:c>
      <x:c r="E125" s="10" t="str">
        <x:v>仅后端命令映射</x:v>
      </x:c>
      <x:c r="F125" s="10" t="str">
        <x:v>无专用MCP</x:v>
      </x:c>
      <x:c r="G125" s="14" t="n">
        <x:v>20</x:v>
      </x:c>
      <x:c r="H125" s="14" t="n">
        <x:v>120</x:v>
      </x:c>
      <x:c r="I125" s="10" t="str">
        <x:v>非Kali主包/在线服务/未指定实现</x:v>
      </x:c>
      <x:c r="J125" s="13"/>
      <x:c r="K125" s="10" t="str">
        <x:v>先封装再纳入</x:v>
      </x:c>
      <x:c r="L125" s="10" t="str">
        <x:v>否</x:v>
      </x:c>
      <x:c r="M125" s="10" t="str">
        <x:v>未显式安装</x:v>
      </x:c>
      <x:c r="N125" s="10" t="str">
        <x:v>仅命令映射/检查；CTF自动步骤主要输出命令/模拟成功，不应算已执行集成</x:v>
      </x:c>
      <x:c r="O125" s="10" t="str">
        <x:v>hexstrike_server.py:3577</x:v>
      </x:c>
      <x:c r="P125" s="10" t="str">
        <x:v>SRC-MCP / SRC-SERVER / EST</x:v>
      </x:c>
    </x:row>
    <x:row r="126" ht="64" customHeight="1">
      <x:c r="A126" s="11" t="n">
        <x:v>118</x:v>
      </x:c>
      <x:c r="B126" s="9" t="str">
        <x:v>Autopsy</x:v>
      </x:c>
      <x:c r="C126" s="10" t="str">
        <x:v>数字取证</x:v>
      </x:c>
      <x:c r="D126" s="10" t="str">
        <x:v>文件系统和取证证据分析</x:v>
      </x:c>
      <x:c r="E126" s="10" t="str">
        <x:v>仅后端命令映射</x:v>
      </x:c>
      <x:c r="F126" s="10" t="str">
        <x:v>无专用MCP</x:v>
      </x:c>
      <x:c r="G126" s="14" t="n">
        <x:v>3</x:v>
      </x:c>
      <x:c r="H126" s="14" t="n">
        <x:v>50</x:v>
      </x:c>
      <x:c r="I126" s="10" t="str">
        <x:v>autopsy</x:v>
      </x:c>
      <x:c r="J126" s="13" t="n">
        <x:v>1</x:v>
      </x:c>
      <x:c r="K126" s="10" t="str">
        <x:v>暂不纳入</x:v>
      </x:c>
      <x:c r="L126" s="10" t="str">
        <x:v>否</x:v>
      </x:c>
      <x:c r="M126" s="10" t="str">
        <x:v>未显式安装</x:v>
      </x:c>
      <x:c r="N126" s="10" t="str">
        <x:v>区间为Kali传统Web版；现代Autopsy4约500–1500MiB需单独评估；CTF自动步骤主要输出命令/模拟成功，不应算已执行集成</x:v>
      </x:c>
      <x:c r="O126" s="10" t="str">
        <x:v>hexstrike_server.py:3574</x:v>
      </x:c>
      <x:c r="P126" s="10" t="str">
        <x:v>SRC-MCP / SRC-SERVER / SRC-KALI / EST</x:v>
      </x:c>
    </x:row>
    <x:row r="127" ht="64" customHeight="1">
      <x:c r="A127" s="11" t="n">
        <x:v>119</x:v>
      </x:c>
      <x:c r="B127" s="9" t="str">
        <x:v>Sleuth Kit</x:v>
      </x:c>
      <x:c r="C127" s="10" t="str">
        <x:v>数字取证</x:v>
      </x:c>
      <x:c r="D127" s="10" t="str">
        <x:v>磁盘镜像和文件系统分析</x:v>
      </x:c>
      <x:c r="E127" s="10" t="str">
        <x:v>仅后端命令映射</x:v>
      </x:c>
      <x:c r="F127" s="10" t="str">
        <x:v>无专用MCP</x:v>
      </x:c>
      <x:c r="G127" s="14" t="n">
        <x:v>10</x:v>
      </x:c>
      <x:c r="H127" s="14" t="n">
        <x:v>60</x:v>
      </x:c>
      <x:c r="I127" s="10" t="str">
        <x:v>sleuthkit</x:v>
      </x:c>
      <x:c r="J127" s="13" t="n">
        <x:v>1.1</x:v>
      </x:c>
      <x:c r="K127" s="10" t="str">
        <x:v>先封装再纳入</x:v>
      </x:c>
      <x:c r="L127" s="10" t="str">
        <x:v>否</x:v>
      </x:c>
      <x:c r="M127" s="10" t="str">
        <x:v>未显式安装</x:v>
      </x:c>
      <x:c r="N127" s="10" t="str">
        <x:v>fls等工具；仅命令映射/检查；CTF自动步骤主要输出命令/模拟成功，不应算已执行集成</x:v>
      </x:c>
      <x:c r="O127" s="10" t="str">
        <x:v>hexstrike_server.py:3575</x:v>
      </x:c>
      <x:c r="P127" s="10" t="str">
        <x:v>SRC-MCP / SRC-SERVER / SRC-KALI / EST</x:v>
      </x:c>
    </x:row>
    <x:row r="128" ht="64" customHeight="1">
      <x:c r="A128" s="11" t="n">
        <x:v>120</x:v>
      </x:c>
      <x:c r="B128" s="9" t="str">
        <x:v>CyberChef</x:v>
      </x:c>
      <x:c r="C128" s="10" t="str">
        <x:v>密码数据分析</x:v>
      </x:c>
      <x:c r="D128" s="10" t="str">
        <x:v>编码、解码、压缩和哈希处理</x:v>
      </x:c>
      <x:c r="E128" s="10" t="str">
        <x:v>仅推荐/替代名称</x:v>
      </x:c>
      <x:c r="F128" s="10" t="str">
        <x:v>无专用MCP</x:v>
      </x:c>
      <x:c r="G128" s="14" t="n">
        <x:v>50</x:v>
      </x:c>
      <x:c r="H128" s="14" t="n">
        <x:v>300</x:v>
      </x:c>
      <x:c r="I128" s="10" t="str">
        <x:v>非Kali主包/在线服务/未指定实现</x:v>
      </x:c>
      <x:c r="J128" s="13"/>
      <x:c r="K128" s="10" t="str">
        <x:v>独立Web工具</x:v>
      </x:c>
      <x:c r="L128" s="10" t="str">
        <x:v>否</x:v>
      </x:c>
      <x:c r="M128" s="10" t="str">
        <x:v>未显式安装</x:v>
      </x:c>
      <x:c r="N128" s="10" t="str">
        <x:v>只有推荐条目，没有专用MCP接入</x:v>
      </x:c>
      <x:c r="O128" s="10" t="str">
        <x:v>hexstrike_server.py:2809; hexstrike_server.py:3003</x:v>
      </x:c>
      <x:c r="P128" s="10" t="str">
        <x:v>SRC-MCP / SRC-SERVER / EST</x:v>
      </x:c>
    </x:row>
    <x:row r="129" ht="64" customHeight="1">
      <x:c r="A129" s="11" t="n">
        <x:v>121</x:v>
      </x:c>
      <x:c r="B129" s="9" t="str">
        <x:v>Cipher-Identifier</x:v>
      </x:c>
      <x:c r="C129" s="10" t="str">
        <x:v>密码数据分析</x:v>
      </x:c>
      <x:c r="D129" s="10" t="str">
        <x:v>推测密文密码类型</x:v>
      </x:c>
      <x:c r="E129" s="10" t="str">
        <x:v>仅后端命令映射</x:v>
      </x:c>
      <x:c r="F129" s="10" t="str">
        <x:v>无专用MCP</x:v>
      </x:c>
      <x:c r="G129" s="14"/>
      <x:c r="H129" s="14"/>
      <x:c r="I129" s="10" t="str">
        <x:v>非Kali主包/在线服务/未指定实现</x:v>
      </x:c>
      <x:c r="J129" s="13"/>
      <x:c r="K129" s="10" t="str">
        <x:v>暂不纳入</x:v>
      </x:c>
      <x:c r="L129" s="10" t="str">
        <x:v>否</x:v>
      </x:c>
      <x:c r="M129" s="10" t="str">
        <x:v>未显式安装</x:v>
      </x:c>
      <x:c r="N129" s="10" t="str">
        <x:v>源码写死脚本路径但未给项目来源，无法可靠估算；CTF自动步骤主要输出命令/模拟成功，不应算已执行集成</x:v>
      </x:c>
      <x:c r="O129" s="10" t="str">
        <x:v>hexstrike_server.py:3516</x:v>
      </x:c>
      <x:c r="P129" s="10" t="str">
        <x:v>SRC-MCP / SRC-SERVER / EST</x:v>
      </x:c>
    </x:row>
    <x:row r="130" ht="64" customHeight="1">
      <x:c r="A130" s="11" t="n">
        <x:v>122</x:v>
      </x:c>
      <x:c r="B130" s="9" t="str">
        <x:v>Frequency-Analysis</x:v>
      </x:c>
      <x:c r="C130" s="10" t="str">
        <x:v>密码数据分析</x:v>
      </x:c>
      <x:c r="D130" s="10" t="str">
        <x:v>字符频率分析辅助解密</x:v>
      </x:c>
      <x:c r="E130" s="10" t="str">
        <x:v>仅后端命令映射</x:v>
      </x:c>
      <x:c r="F130" s="10" t="str">
        <x:v>无专用MCP</x:v>
      </x:c>
      <x:c r="G130" s="14"/>
      <x:c r="H130" s="14"/>
      <x:c r="I130" s="10" t="str">
        <x:v>非Kali主包/在线服务/未指定实现</x:v>
      </x:c>
      <x:c r="J130" s="13"/>
      <x:c r="K130" s="10" t="str">
        <x:v>暂不纳入</x:v>
      </x:c>
      <x:c r="L130" s="10" t="str">
        <x:v>否</x:v>
      </x:c>
      <x:c r="M130" s="10" t="str">
        <x:v>未显式安装</x:v>
      </x:c>
      <x:c r="N130" s="10" t="str">
        <x:v>源码写死脚本路径但未给项目来源，无法可靠估算；CTF自动步骤主要输出命令/模拟成功，不应算已执行集成</x:v>
      </x:c>
      <x:c r="O130" s="10" t="str">
        <x:v>hexstrike_server.py:3524</x:v>
      </x:c>
      <x:c r="P130" s="10" t="str">
        <x:v>SRC-MCP / SRC-SERVER / EST</x:v>
      </x:c>
    </x:row>
    <x:row r="131" ht="64" customHeight="1">
      <x:c r="A131" s="11" t="n">
        <x:v>123</x:v>
      </x:c>
      <x:c r="B131" s="9" t="str">
        <x:v>RSATool</x:v>
      </x:c>
      <x:c r="C131" s="10" t="str">
        <x:v>密码数据分析</x:v>
      </x:c>
      <x:c r="D131" s="10" t="str">
        <x:v>RSA密钥参数分析与处理</x:v>
      </x:c>
      <x:c r="E131" s="10" t="str">
        <x:v>仅后端命令映射</x:v>
      </x:c>
      <x:c r="F131" s="10" t="str">
        <x:v>无专用MCP</x:v>
      </x:c>
      <x:c r="G131" s="14" t="n">
        <x:v>1</x:v>
      </x:c>
      <x:c r="H131" s="14" t="n">
        <x:v>25</x:v>
      </x:c>
      <x:c r="I131" s="10" t="str">
        <x:v>非Kali主包/在线服务/未指定实现</x:v>
      </x:c>
      <x:c r="J131" s="13"/>
      <x:c r="K131" s="10" t="str">
        <x:v>先确认实现</x:v>
      </x:c>
      <x:c r="L131" s="10" t="str">
        <x:v>否</x:v>
      </x:c>
      <x:c r="M131" s="10" t="str">
        <x:v>未显式安装</x:v>
      </x:c>
      <x:c r="N131" s="10" t="str">
        <x:v>仅命令映射；应先确定具体仓库和版本；CTF自动步骤主要输出命令/模拟成功，不应算已执行集成</x:v>
      </x:c>
      <x:c r="O131" s="10" t="str">
        <x:v>hexstrike_server.py:3518</x:v>
      </x:c>
      <x:c r="P131" s="10" t="str">
        <x:v>SRC-MCP / SRC-SERVER / EST</x:v>
      </x:c>
    </x:row>
    <x:row r="132" ht="64" customHeight="1">
      <x:c r="A132" s="11" t="n">
        <x:v>124</x:v>
      </x:c>
      <x:c r="B132" s="9" t="str">
        <x:v>FactorDB</x:v>
      </x:c>
      <x:c r="C132" s="10" t="str">
        <x:v>密码数据分析</x:v>
      </x:c>
      <x:c r="D132" s="10" t="str">
        <x:v>在线查询整数分解结果</x:v>
      </x:c>
      <x:c r="E132" s="10" t="str">
        <x:v>仅后端命令映射</x:v>
      </x:c>
      <x:c r="F132" s="10" t="str">
        <x:v>无专用MCP</x:v>
      </x:c>
      <x:c r="G132" s="14" t="n">
        <x:v>0</x:v>
      </x:c>
      <x:c r="H132" s="14" t="n">
        <x:v>0</x:v>
      </x:c>
      <x:c r="I132" s="10" t="str">
        <x:v>非Kali主包/在线服务/未指定实现</x:v>
      </x:c>
      <x:c r="J132" s="13"/>
      <x:c r="K132" s="10" t="str">
        <x:v>在线接入</x:v>
      </x:c>
      <x:c r="L132" s="10" t="str">
        <x:v>否</x:v>
      </x:c>
      <x:c r="M132" s="10" t="str">
        <x:v>未显式安装</x:v>
      </x:c>
      <x:c r="N132" s="10" t="str">
        <x:v>0表示服务不进镜像；源码假设存在本地客户端脚本；CTF自动步骤主要输出命令/模拟成功，不应算已执行集成</x:v>
      </x:c>
      <x:c r="O132" s="10" t="str">
        <x:v>hexstrike_server.py:3517</x:v>
      </x:c>
      <x:c r="P132" s="10" t="str">
        <x:v>SRC-MCP / SRC-SERVER / EST</x:v>
      </x:c>
    </x:row>
    <x:row r="133" ht="64" customHeight="1">
      <x:c r="A133" s="11" t="n">
        <x:v>125</x:v>
      </x:c>
      <x:c r="B133" s="9" t="str">
        <x:v>Aquatone</x:v>
      </x:c>
      <x:c r="C133" s="10" t="str">
        <x:v>OSINT</x:v>
      </x:c>
      <x:c r="D133" s="10" t="str">
        <x:v>批量网站截图与资产汇总</x:v>
      </x:c>
      <x:c r="E133" s="10" t="str">
        <x:v>仅README列举</x:v>
      </x:c>
      <x:c r="F133" s="10" t="str">
        <x:v>无专用MCP</x:v>
      </x:c>
      <x:c r="G133" s="14" t="n">
        <x:v>15</x:v>
      </x:c>
      <x:c r="H133" s="14" t="n">
        <x:v>70</x:v>
      </x:c>
      <x:c r="I133" s="10" t="str">
        <x:v>非Kali主包/在线服务/未指定实现</x:v>
      </x:c>
      <x:c r="J133" s="13"/>
      <x:c r="K133" s="10" t="str">
        <x:v>先封装再纳入</x:v>
      </x:c>
      <x:c r="L133" s="10" t="str">
        <x:v>否</x:v>
      </x:c>
      <x:c r="M133" s="10" t="str">
        <x:v>未显式安装</x:v>
      </x:c>
      <x:c r="N133" s="10" t="str">
        <x:v>无专用接口；首次浏览器另估350–650MiB</x:v>
      </x:c>
      <x:c r="O133" s="10" t="str">
        <x:v>README.md:Security Tools Arsenal</x:v>
      </x:c>
      <x:c r="P133" s="10" t="str">
        <x:v>SRC-MCP / SRC-SERVER / EST</x:v>
      </x:c>
    </x:row>
    <x:row r="134" ht="64" customHeight="1">
      <x:c r="A134" s="11" t="n">
        <x:v>126</x:v>
      </x:c>
      <x:c r="B134" s="9" t="str">
        <x:v>Subjack</x:v>
      </x:c>
      <x:c r="C134" s="10" t="str">
        <x:v>OSINT</x:v>
      </x:c>
      <x:c r="D134" s="10" t="str">
        <x:v>检查子域名接管风险</x:v>
      </x:c>
      <x:c r="E134" s="10" t="str">
        <x:v>仅README列举</x:v>
      </x:c>
      <x:c r="F134" s="10" t="str">
        <x:v>无专用MCP</x:v>
      </x:c>
      <x:c r="G134" s="14" t="n">
        <x:v>12</x:v>
      </x:c>
      <x:c r="H134" s="14" t="n">
        <x:v>40</x:v>
      </x:c>
      <x:c r="I134" s="10" t="str">
        <x:v>subjack</x:v>
      </x:c>
      <x:c r="J134" s="13" t="n">
        <x:v>10.74</x:v>
      </x:c>
      <x:c r="K134" s="10" t="str">
        <x:v>先封装再纳入</x:v>
      </x:c>
      <x:c r="L134" s="10" t="str">
        <x:v>否</x:v>
      </x:c>
      <x:c r="M134" s="10" t="str">
        <x:v>未显式安装</x:v>
      </x:c>
      <x:c r="N134" s="10" t="str">
        <x:v>无专用接口或明确调用实现</x:v>
      </x:c>
      <x:c r="O134" s="10" t="str">
        <x:v>README.md:Security Tools Arsenal</x:v>
      </x:c>
      <x:c r="P134" s="10" t="str">
        <x:v>SRC-MCP / SRC-SERVER / SRC-KALI / EST</x:v>
      </x:c>
    </x:row>
    <x:row r="135" ht="64" customHeight="1">
      <x:c r="A135" s="11" t="n">
        <x:v>127</x:v>
      </x:c>
      <x:c r="B135" s="9" t="str">
        <x:v>Sherlock</x:v>
      </x:c>
      <x:c r="C135" s="10" t="str">
        <x:v>OSINT</x:v>
      </x:c>
      <x:c r="D135" s="10" t="str">
        <x:v>跨网站用户名公开账号搜索</x:v>
      </x:c>
      <x:c r="E135" s="10" t="str">
        <x:v>仅后端命令映射</x:v>
      </x:c>
      <x:c r="F135" s="10" t="str">
        <x:v>无专用MCP</x:v>
      </x:c>
      <x:c r="G135" s="14" t="n">
        <x:v>30</x:v>
      </x:c>
      <x:c r="H135" s="14" t="n">
        <x:v>150</x:v>
      </x:c>
      <x:c r="I135" s="10" t="str">
        <x:v>sherlock</x:v>
      </x:c>
      <x:c r="J135" s="13" t="n">
        <x:v>0.18</x:v>
      </x:c>
      <x:c r="K135" s="10" t="str">
        <x:v>先封装再纳入</x:v>
      </x:c>
      <x:c r="L135" s="10" t="str">
        <x:v>否</x:v>
      </x:c>
      <x:c r="M135" s="10" t="str">
        <x:v>未显式安装</x:v>
      </x:c>
      <x:c r="N135" s="10" t="str">
        <x:v>只有编排/命令映射，没有专用MCP；CTF自动步骤主要输出命令/模拟成功，不应算已执行集成</x:v>
      </x:c>
      <x:c r="O135" s="10" t="str">
        <x:v>hexstrike_server.py:3601</x:v>
      </x:c>
      <x:c r="P135" s="10" t="str">
        <x:v>SRC-MCP / SRC-SERVER / SRC-KALI / EST</x:v>
      </x:c>
    </x:row>
    <x:row r="136" ht="64" customHeight="1">
      <x:c r="A136" s="11" t="n">
        <x:v>128</x:v>
      </x:c>
      <x:c r="B136" s="9" t="str">
        <x:v>Social-Analyzer</x:v>
      </x:c>
      <x:c r="C136" s="10" t="str">
        <x:v>OSINT</x:v>
      </x:c>
      <x:c r="D136" s="10" t="str">
        <x:v>公开账号与社交信息收集</x:v>
      </x:c>
      <x:c r="E136" s="10" t="str">
        <x:v>仅后端命令映射</x:v>
      </x:c>
      <x:c r="F136" s="10" t="str">
        <x:v>无专用MCP</x:v>
      </x:c>
      <x:c r="G136" s="14" t="n">
        <x:v>30</x:v>
      </x:c>
      <x:c r="H136" s="14" t="n">
        <x:v>250</x:v>
      </x:c>
      <x:c r="I136" s="10" t="str">
        <x:v>非Kali主包/在线服务/未指定实现</x:v>
      </x:c>
      <x:c r="J136" s="13"/>
      <x:c r="K136" s="10" t="str">
        <x:v>先封装再纳入</x:v>
      </x:c>
      <x:c r="L136" s="10" t="str">
        <x:v>否</x:v>
      </x:c>
      <x:c r="M136" s="10" t="str">
        <x:v>未显式安装</x:v>
      </x:c>
      <x:c r="N136" s="10" t="str">
        <x:v>浏览器相关依赖另计；CTF自动步骤主要输出命令/模拟成功，不应算已执行集成</x:v>
      </x:c>
      <x:c r="O136" s="10" t="str">
        <x:v>hexstrike_server.py:3602</x:v>
      </x:c>
      <x:c r="P136" s="10" t="str">
        <x:v>SRC-MCP / SRC-SERVER / EST</x:v>
      </x:c>
    </x:row>
    <x:row r="137" ht="64" customHeight="1">
      <x:c r="A137" s="11" t="n">
        <x:v>129</x:v>
      </x:c>
      <x:c r="B137" s="9" t="str">
        <x:v>Recon-ng</x:v>
      </x:c>
      <x:c r="C137" s="10" t="str">
        <x:v>OSINT</x:v>
      </x:c>
      <x:c r="D137" s="10" t="str">
        <x:v>模块化公开情报收集</x:v>
      </x:c>
      <x:c r="E137" s="10" t="str">
        <x:v>仅后端命令映射</x:v>
      </x:c>
      <x:c r="F137" s="10" t="str">
        <x:v>无专用MCP</x:v>
      </x:c>
      <x:c r="G137" s="14" t="n">
        <x:v>30</x:v>
      </x:c>
      <x:c r="H137" s="14" t="n">
        <x:v>150</x:v>
      </x:c>
      <x:c r="I137" s="10" t="str">
        <x:v>recon-ng</x:v>
      </x:c>
      <x:c r="J137" s="13" t="n">
        <x:v>0.26</x:v>
      </x:c>
      <x:c r="K137" s="10" t="str">
        <x:v>先封装再纳入</x:v>
      </x:c>
      <x:c r="L137" s="10" t="str">
        <x:v>否</x:v>
      </x:c>
      <x:c r="M137" s="10" t="str">
        <x:v>未显式安装</x:v>
      </x:c>
      <x:c r="N137" s="10" t="str">
        <x:v>模块与API Key另配；CTF自动步骤主要输出命令/模拟成功，不应算已执行集成</x:v>
      </x:c>
      <x:c r="O137" s="10" t="str">
        <x:v>hexstrike_server.py:3604</x:v>
      </x:c>
      <x:c r="P137" s="10" t="str">
        <x:v>SRC-MCP / SRC-SERVER / SRC-KALI / EST</x:v>
      </x:c>
    </x:row>
    <x:row r="138" ht="64" customHeight="1">
      <x:c r="A138" s="11" t="n">
        <x:v>130</x:v>
      </x:c>
      <x:c r="B138" s="9" t="str">
        <x:v>Maltego</x:v>
      </x:c>
      <x:c r="C138" s="10" t="str">
        <x:v>OSINT</x:v>
      </x:c>
      <x:c r="D138" s="10" t="str">
        <x:v>身份、域名和组织关系图谱</x:v>
      </x:c>
      <x:c r="E138" s="10" t="str">
        <x:v>仅后端命令映射</x:v>
      </x:c>
      <x:c r="F138" s="10" t="str">
        <x:v>无专用MCP</x:v>
      </x:c>
      <x:c r="G138" s="14" t="n">
        <x:v>500</x:v>
      </x:c>
      <x:c r="H138" s="14" t="n">
        <x:v>1500</x:v>
      </x:c>
      <x:c r="I138" s="10" t="str">
        <x:v>非Kali主包/在线服务/未指定实现</x:v>
      </x:c>
      <x:c r="J138" s="13"/>
      <x:c r="K138" s="10" t="str">
        <x:v>暂不纳入</x:v>
      </x:c>
      <x:c r="L138" s="10" t="str">
        <x:v>否</x:v>
      </x:c>
      <x:c r="M138" s="10" t="str">
        <x:v>未显式安装</x:v>
      </x:c>
      <x:c r="N138" s="10" t="str">
        <x:v>GUI与授权场景；仅命令映射/检查；CTF自动步骤主要输出命令/模拟成功，不应算已执行集成</x:v>
      </x:c>
      <x:c r="O138" s="10" t="str">
        <x:v>hexstrike_server.py:3605</x:v>
      </x:c>
      <x:c r="P138" s="10" t="str">
        <x:v>SRC-MCP / SRC-SERVER / EST</x:v>
      </x:c>
    </x:row>
    <x:row r="139" ht="64" customHeight="1">
      <x:c r="A139" s="11" t="n">
        <x:v>131</x:v>
      </x:c>
      <x:c r="B139" s="9" t="str">
        <x:v>SpiderFoot</x:v>
      </x:c>
      <x:c r="C139" s="10" t="str">
        <x:v>OSINT</x:v>
      </x:c>
      <x:c r="D139" s="10" t="str">
        <x:v>汇集公开资产和关联数据</x:v>
      </x:c>
      <x:c r="E139" s="10" t="str">
        <x:v>仅后端命令映射</x:v>
      </x:c>
      <x:c r="F139" s="10" t="str">
        <x:v>无专用MCP</x:v>
      </x:c>
      <x:c r="G139" s="14" t="n">
        <x:v>100</x:v>
      </x:c>
      <x:c r="H139" s="14" t="n">
        <x:v>500</x:v>
      </x:c>
      <x:c r="I139" s="10" t="str">
        <x:v>spiderfoot</x:v>
      </x:c>
      <x:c r="J139" s="13" t="n">
        <x:v>13.73</x:v>
      </x:c>
      <x:c r="K139" s="10" t="str">
        <x:v>先封装再纳入</x:v>
      </x:c>
      <x:c r="L139" s="10" t="str">
        <x:v>否</x:v>
      </x:c>
      <x:c r="M139" s="10" t="str">
        <x:v>未显式安装</x:v>
      </x:c>
      <x:c r="N139" s="10" t="str">
        <x:v>API Key与数据外置；CTF自动步骤主要输出命令/模拟成功，不应算已执行集成</x:v>
      </x:c>
      <x:c r="O139" s="10" t="str">
        <x:v>hexstrike_server.py:3606</x:v>
      </x:c>
      <x:c r="P139" s="10" t="str">
        <x:v>SRC-MCP / SRC-SERVER / SRC-KALI / EST</x:v>
      </x:c>
    </x:row>
    <x:row r="140" ht="64" customHeight="1">
      <x:c r="A140" s="11" t="n">
        <x:v>132</x:v>
      </x:c>
      <x:c r="B140" s="9" t="str">
        <x:v>Shodan</x:v>
      </x:c>
      <x:c r="C140" s="10" t="str">
        <x:v>OSINT</x:v>
      </x:c>
      <x:c r="D140" s="10" t="str">
        <x:v>搜索互联网设备及服务指纹</x:v>
      </x:c>
      <x:c r="E140" s="10" t="str">
        <x:v>仅后端命令映射</x:v>
      </x:c>
      <x:c r="F140" s="10" t="str">
        <x:v>无专用MCP</x:v>
      </x:c>
      <x:c r="G140" s="14" t="n">
        <x:v>5</x:v>
      </x:c>
      <x:c r="H140" s="14" t="n">
        <x:v>50</x:v>
      </x:c>
      <x:c r="I140" s="10" t="str">
        <x:v>非Kali主包/在线服务/未指定实现</x:v>
      </x:c>
      <x:c r="J140" s="13"/>
      <x:c r="K140" s="10" t="str">
        <x:v>在线接入</x:v>
      </x:c>
      <x:c r="L140" s="10" t="str">
        <x:v>否</x:v>
      </x:c>
      <x:c r="M140" s="10" t="str">
        <x:v>未显式安装</x:v>
      </x:c>
      <x:c r="N140" s="10" t="str">
        <x:v>只估可选CLI/SDK；云端索引不进镜像；CTF自动步骤主要输出命令/模拟成功，不应算已执行集成</x:v>
      </x:c>
      <x:c r="O140" s="10" t="str">
        <x:v>hexstrike_server.py:3607</x:v>
      </x:c>
      <x:c r="P140" s="10" t="str">
        <x:v>SRC-MCP / SRC-SERVER / EST</x:v>
      </x:c>
    </x:row>
    <x:row r="141" ht="64" customHeight="1">
      <x:c r="A141" s="11" t="n">
        <x:v>133</x:v>
      </x:c>
      <x:c r="B141" s="9" t="str">
        <x:v>Censys</x:v>
      </x:c>
      <x:c r="C141" s="10" t="str">
        <x:v>OSINT</x:v>
      </x:c>
      <x:c r="D141" s="10" t="str">
        <x:v>查询主机、服务和证书</x:v>
      </x:c>
      <x:c r="E141" s="10" t="str">
        <x:v>仅后端命令映射</x:v>
      </x:c>
      <x:c r="F141" s="10" t="str">
        <x:v>无专用MCP</x:v>
      </x:c>
      <x:c r="G141" s="14" t="n">
        <x:v>10</x:v>
      </x:c>
      <x:c r="H141" s="14" t="n">
        <x:v>100</x:v>
      </x:c>
      <x:c r="I141" s="10" t="str">
        <x:v>非Kali主包/在线服务/未指定实现</x:v>
      </x:c>
      <x:c r="J141" s="13"/>
      <x:c r="K141" s="10" t="str">
        <x:v>在线接入</x:v>
      </x:c>
      <x:c r="L141" s="10" t="str">
        <x:v>否</x:v>
      </x:c>
      <x:c r="M141" s="10" t="str">
        <x:v>未显式安装</x:v>
      </x:c>
      <x:c r="N141" s="10" t="str">
        <x:v>只估可选CLI/SDK；云端索引不进镜像；CTF自动步骤主要输出命令/模拟成功，不应算已执行集成</x:v>
      </x:c>
      <x:c r="O141" s="10" t="str">
        <x:v>hexstrike_server.py:3608</x:v>
      </x:c>
      <x:c r="P141" s="10" t="str">
        <x:v>SRC-MCP / SRC-SERVER / EST</x:v>
      </x:c>
    </x:row>
    <x:row r="142" ht="64" customHeight="1">
      <x:c r="A142" s="11" t="n">
        <x:v>134</x:v>
      </x:c>
      <x:c r="B142" s="9" t="str">
        <x:v>Have I Been Pwned</x:v>
      </x:c>
      <x:c r="C142" s="10" t="str">
        <x:v>OSINT</x:v>
      </x:c>
      <x:c r="D142" s="10" t="str">
        <x:v>查询已知泄漏事件</x:v>
      </x:c>
      <x:c r="E142" s="10" t="str">
        <x:v>仅健康检查/提及</x:v>
      </x:c>
      <x:c r="F142" s="10" t="str">
        <x:v>无专用MCP</x:v>
      </x:c>
      <x:c r="G142" s="14" t="n">
        <x:v>0</x:v>
      </x:c>
      <x:c r="H142" s="14" t="n">
        <x:v>0</x:v>
      </x:c>
      <x:c r="I142" s="10" t="str">
        <x:v>非Kali主包/在线服务/未指定实现</x:v>
      </x:c>
      <x:c r="J142" s="13"/>
      <x:c r="K142" s="10" t="str">
        <x:v>在线接入</x:v>
      </x:c>
      <x:c r="L142" s="10" t="str">
        <x:v>否</x:v>
      </x:c>
      <x:c r="M142" s="10" t="str">
        <x:v>未显式安装</x:v>
      </x:c>
      <x:c r="N142" s="10" t="str">
        <x:v>仅健康检查名称，未发现明确API实现</x:v>
      </x:c>
      <x:c r="O142" s="10" t="str">
        <x:v>hexstrike_server.py:9024</x:v>
      </x:c>
      <x:c r="P142" s="10" t="str">
        <x:v>SRC-MCP / SRC-SERVER / EST</x:v>
      </x:c>
    </x:row>
    <x:row r="143" ht="64" customHeight="1">
      <x:c r="A143" s="11" t="n">
        <x:v>135</x:v>
      </x:c>
      <x:c r="B143" s="9" t="str">
        <x:v>Pipl</x:v>
      </x:c>
      <x:c r="C143" s="10" t="str">
        <x:v>OSINT</x:v>
      </x:c>
      <x:c r="D143" s="10" t="str">
        <x:v>商业身份查询与关联</x:v>
      </x:c>
      <x:c r="E143" s="10" t="str">
        <x:v>仅README列举</x:v>
      </x:c>
      <x:c r="F143" s="10" t="str">
        <x:v>无专用MCP</x:v>
      </x:c>
      <x:c r="G143" s="14" t="n">
        <x:v>0</x:v>
      </x:c>
      <x:c r="H143" s="14" t="n">
        <x:v>0</x:v>
      </x:c>
      <x:c r="I143" s="10" t="str">
        <x:v>非Kali主包/在线服务/未指定实现</x:v>
      </x:c>
      <x:c r="J143" s="13"/>
      <x:c r="K143" s="10" t="str">
        <x:v>在线接入</x:v>
      </x:c>
      <x:c r="L143" s="10" t="str">
        <x:v>否</x:v>
      </x:c>
      <x:c r="M143" s="10" t="str">
        <x:v>未显式安装</x:v>
      </x:c>
      <x:c r="N143" s="10" t="str">
        <x:v>无明确接入代码；需要服务授权</x:v>
      </x:c>
      <x:c r="O143" s="10" t="str">
        <x:v>README.md:Security Tools Arsenal</x:v>
      </x:c>
      <x:c r="P143" s="10" t="str">
        <x:v>SRC-MCP / SRC-SERVER / EST</x:v>
      </x:c>
    </x:row>
    <x:row r="144" ht="64" customHeight="1">
      <x:c r="A144" s="11" t="n">
        <x:v>136</x:v>
      </x:c>
      <x:c r="B144" s="9" t="str">
        <x:v>TruffleHog</x:v>
      </x:c>
      <x:c r="C144" s="10" t="str">
        <x:v>泄漏检测</x:v>
      </x:c>
      <x:c r="D144" s="10" t="str">
        <x:v>发现代码和数据源中的凭据</x:v>
      </x:c>
      <x:c r="E144" s="10" t="str">
        <x:v>仅README列举</x:v>
      </x:c>
      <x:c r="F144" s="10" t="str">
        <x:v>无专用MCP</x:v>
      </x:c>
      <x:c r="G144" s="14" t="n">
        <x:v>125</x:v>
      </x:c>
      <x:c r="H144" s="14" t="n">
        <x:v>220</x:v>
      </x:c>
      <x:c r="I144" s="10" t="str">
        <x:v>trufflehog</x:v>
      </x:c>
      <x:c r="J144" s="13" t="n">
        <x:v>121.04</x:v>
      </x:c>
      <x:c r="K144" s="10" t="str">
        <x:v>先封装再纳入</x:v>
      </x:c>
      <x:c r="L144" s="10" t="str">
        <x:v>否</x:v>
      </x:c>
      <x:c r="M144" s="10" t="str">
        <x:v>未显式安装</x:v>
      </x:c>
      <x:c r="N144" s="10" t="str">
        <x:v>无专用接口或明确调用实现</x:v>
      </x:c>
      <x:c r="O144" s="10" t="str">
        <x:v>README.md:Security Tools Arsenal</x:v>
      </x:c>
      <x:c r="P144" s="10" t="str">
        <x:v>SRC-MCP / SRC-SERVER / SRC-KALI / EST</x:v>
      </x:c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</x:row>
  </x:sheetData>
  <x:conditionalFormatting sqref="E9:E144">
    <x:cfRule type="containsText" dxfId="0" priority="1" operator="containsText" text="但"/>
    <x:cfRule type="containsText" dxfId="1" priority="2" operator="containsText" text="仅"/>
  </x:conditionalFormatting>
  <x:conditionalFormatting sqref="K9:K144">
    <x:cfRule type="containsText" dxfId="2" priority="3" operator="containsText" text="独立"/>
  </x:conditionalFormatting>
  <x:pageMargins left="0.7" right="0.7" top="0.75" bottom="0.75" header="0.3" footer="0.3"/>
  <x:tableParts count="1">
    <x:tablePart xmlns:r="http://schemas.openxmlformats.org/officeDocument/2006/relationships" r:id="R4e37a403a1ec477d"/>
  </x:tableParts>
</x:worksheet>
</file>

<file path=xl/worksheets/sheet2.xml><?xml version="1.0" encoding="utf-8"?>
<x:worksheet xmlns:x="http://schemas.openxmlformats.org/spreadsheetml/2006/main">
  <x:sheetPr>
    <x:tabColor rgb="FF829AB1"/>
  </x:sheetPr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8" customHeight="1">
      <x:c r="A2" s="2" t="str">
        <x:v>评估口径与部署建议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5" t="str">
        <x:v>指标</x:v>
      </x:c>
      <x:c r="B4" s="5" t="str">
        <x:v>数量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>
      <x:c r="A5" s="1" t="str">
        <x:v>README独立工具项</x:v>
      </x:c>
      <x:c r="B5" s="18" t="n">
        <x:f>COUNTA('工具评估'!B9:B144)</x:f>
        <x:v>136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>
      <x:c r="A6" s="1" t="str">
        <x:v>有专用MCP注册的工具项</x:v>
      </x:c>
      <x:c r="B6" s="18" t="n">
        <x:f>COUNTIFS('工具评估'!E9:E144,"已注册专用MCP")+COUNTIFS('工具评估'!E9:E144,"已注册但参数冲突")+COUNTIFS('工具评估'!E9:E144,"已注册但CLI不兼容")</x:f>
        <x:v>78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>
      <x:c r="A7" s="1" t="str">
        <x:v>常用镜像纳入的工具项</x:v>
      </x:c>
      <x:c r="B7" s="18" t="n">
        <x:f>COUNTIFS('工具评估'!L9:L144,"是")</x:f>
        <x:v>22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46" customHeight="1">
      <x:c r="A10" s="16" t="str">
        <x:v>代码状态</x:v>
      </x:c>
      <x:c r="B10" s="17" t="str">
        <x:v>已注册：有专用 @mcp.tool()。仅命令映射、健康检查、推荐名称或README列举均不算专用注册。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46" customHeight="1">
      <x:c r="A11" s="16" t="str">
        <x:v>CTF限制</x:v>
      </x:c>
      <x:c r="B11" s="17" t="str">
        <x:v>CTF自动步骤存在模拟成功或仅输出命令的逻辑；不能把映射中的工具当作实际已执行。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46" customHeight="1">
      <x:c r="A12" s="16" t="str">
        <x:v>体积口径</x:v>
      </x:c>
      <x:c r="B12" s="17" t="str">
        <x:v>估算为Linux amd64下，已有Python/Perl、常用共享库时的软件及专用依赖；不等于压缩下载或registry推送体积。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46" customHeight="1">
      <x:c r="A13" s="16" t="str">
        <x:v>Java/Ruby/浏览器</x:v>
      </x:c>
      <x:c r="B13" s="17" t="str">
        <x:v>首次引入JRE约200–350MiB、Ruby约80–200MiB、Chromium/驱动约350–650MiB，作为共享成本单列。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46" customHeight="1">
      <x:c r="A14" s="16" t="str">
        <x:v>包自身体积</x:v>
      </x:c>
      <x:c r="B14" s="17" t="str">
        <x:v>Kali main的Installed-Size / 1024，是包自身未压缩MiB，不包含依赖；不能当成真实镜像增量。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46" customHeight="1">
      <x:c r="A15" s="16" t="str">
        <x:v>估算证据</x:v>
      </x:c>
      <x:c r="B15" s="17" t="str">
        <x:v>G/H是工程估算，未测量；J是已取得的软件包元数据。元包和同包多命令尤其不能直接相加。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46" customHeight="1">
      <x:c r="A16" s="16" t="str">
        <x:v>无法估算</x:v>
      </x:c>
      <x:c r="B16" s="17" t="str">
        <x:v>空白表示未指定具体实现或扩展集合，不是0。在线服务的0表示不在本机部署服务端，并不表示已有接入代码。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46" customHeight="1">
      <x:c r="A17" s="16" t="str">
        <x:v>数据与缓存</x:v>
      </x:c>
      <x:c r="B17" s="17" t="str">
        <x:v>Nuclei模板、漏洞库、彩虹表、libc数据库、内存镜像、输出结果和大型字典应单独核算或放持久卷。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46" customHeight="1">
      <x:c r="A18" s="16" t="str">
        <x:v>字典成本</x:v>
      </x:c>
      <x:c r="B18" s="17" t="str">
        <x:v>当前Kali元数据中SecLists包自身约1845.5MiB；常用镜像只复制需要的小字典，不安装整套SecLists。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46" customHeight="1">
      <x:c r="A19" s="16" t="str">
        <x:v>基础镜像</x:v>
      </x:c>
      <x:c r="B19" s="17" t="str">
        <x:v>优先网络侦察/Web核心；二进制、认证/GPU、云扫描、旧版取证按需拆分镜像。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46" customHeight="1">
      <x:c r="A20" s="16" t="str">
        <x:v>节点组件</x:v>
      </x:c>
      <x:c r="B20" s="17" t="str">
        <x:v>Falco、Kube-bench、Docker Bench按节点服务/任务部署，不纳入普通Web扫描工作容器。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46" customHeight="1">
      <x:c r="A21" s="16" t="str">
        <x:v>通用执行</x:v>
      </x:c>
      <x:c r="B21" s="17" t="str">
        <x:v>execute_command可以执行已安装命令，但不代表每个工具有独立、类型化的MCP封装。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46" customHeight="1">
      <x:c r="A22" s="16" t="str">
        <x:v>现有Dockerfile</x:v>
      </x:c>
      <x:c r="B22" s="17" t="str">
        <x:v>原全量Dockerfile字段只反映安装配方，未做docker build。最新常用版的纳入情况单独列在L列。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46" customHeight="1">
      <x:c r="A23" s="16" t="str">
        <x:v>测试边界</x:v>
      </x:c>
      <x:c r="B23" s="17" t="str">
        <x:v>当前交付环境没有Docker引擎。常用版内嵌构建测试；必须实际构建成功后才可引用其MCP调用测试结果。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46" customHeight="1">
      <x:c r="A24" s="16" t="str">
        <x:v>常用版修正</x:v>
      </x:c>
      <x:c r="B24" s="17" t="str">
        <x:v>只注册配置清单中的已安装工具；保留第一个HTTPx定义，避免后一个targets/target_file接口覆盖target接口。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>
      <x:c r="A27" s="5" t="str">
        <x:v>来源编号</x:v>
      </x:c>
      <x:c r="B27" s="5" t="str">
        <x:v>来源与方法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46" customHeight="1">
      <x:c r="A28" s="17" t="str">
        <x:v>SRC-MCP</x:v>
      </x:c>
      <x:c r="B28" s="17" t="str">
        <x:v>https://github.com/0x4m4/hexstrike-ai/blob/d689933ff579d839c676c82b231f8e98326c5f04/hexstrike_mcp.py</x:v>
      </x:c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46" customHeight="1">
      <x:c r="A29" s="17" t="str">
        <x:v>SRC-SERVER</x:v>
      </x:c>
      <x:c r="B29" s="17" t="str">
        <x:v>https://github.com/0x4m4/hexstrike-ai/blob/d689933ff579d839c676c82b231f8e98326c5f04/hexstrike_server.py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46" customHeight="1">
      <x:c r="A30" s="17" t="str">
        <x:v>SRC-KALI</x:v>
      </x:c>
      <x:c r="B30" s="17" t="str">
        <x:v>https://http.kali.org/kali/dists/kali-rolling/main/binary-amd64/Packages.gz；本次下载的main/amd64软件包元数据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46" customHeight="1">
      <x:c r="A31" s="17" t="str">
        <x:v>EST</x:v>
      </x:c>
      <x:c r="B31" s="17" t="str">
        <x:v>按安装形式和依赖图人工给出的粗略区间；没有Docker实测，不能作为精确容量或采购依据。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</x:row>
  </x:sheetData>
  <x:pageMargins left="0.7" right="0.7" top="0.75" bottom="0.75" header="0.3" footer="0.3"/>
</x:worksheet>
</file>